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TS\Downloads\"/>
    </mc:Choice>
  </mc:AlternateContent>
  <xr:revisionPtr revIDLastSave="0" documentId="8_{C4546C1B-FC80-4B17-AE79-2C921F41C4DE}" xr6:coauthVersionLast="47" xr6:coauthVersionMax="47" xr10:uidLastSave="{00000000-0000-0000-0000-000000000000}"/>
  <bookViews>
    <workbookView xWindow="-120" yWindow="-120" windowWidth="29040" windowHeight="15720" activeTab="1" xr2:uid="{C4CE6B16-B98D-4343-86F8-59E19A69230E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2" l="1"/>
  <c r="M7" i="2"/>
  <c r="M6" i="2"/>
  <c r="M5" i="2"/>
  <c r="M3" i="2"/>
  <c r="M4" i="2"/>
  <c r="M2" i="2"/>
  <c r="L8" i="2"/>
  <c r="L7" i="2"/>
  <c r="L6" i="2"/>
  <c r="L5" i="2"/>
  <c r="L4" i="2"/>
  <c r="L3" i="2"/>
  <c r="L2" i="2"/>
  <c r="M8" i="1"/>
  <c r="M7" i="1"/>
  <c r="M6" i="1"/>
  <c r="M5" i="1"/>
  <c r="M3" i="1"/>
  <c r="M4" i="1"/>
  <c r="M2" i="1"/>
  <c r="L8" i="1"/>
  <c r="L7" i="1"/>
  <c r="L6" i="1"/>
  <c r="L5" i="1"/>
  <c r="L4" i="1"/>
  <c r="L3" i="1"/>
  <c r="L2" i="1"/>
</calcChain>
</file>

<file path=xl/sharedStrings.xml><?xml version="1.0" encoding="utf-8"?>
<sst xmlns="http://schemas.openxmlformats.org/spreadsheetml/2006/main" count="160" uniqueCount="49">
  <si>
    <t>Date</t>
  </si>
  <si>
    <t>Voucher Type</t>
  </si>
  <si>
    <t>Voucher No</t>
  </si>
  <si>
    <t>State</t>
  </si>
  <si>
    <t>Course</t>
  </si>
  <si>
    <t>Quantity</t>
  </si>
  <si>
    <t>Sales</t>
  </si>
  <si>
    <t>sales</t>
  </si>
  <si>
    <t>LMP201</t>
  </si>
  <si>
    <t>LMP202</t>
  </si>
  <si>
    <t>LMP203</t>
  </si>
  <si>
    <t>LMP204</t>
  </si>
  <si>
    <t>LMP205</t>
  </si>
  <si>
    <t>LMP206</t>
  </si>
  <si>
    <t>LMP207</t>
  </si>
  <si>
    <t>LMP208</t>
  </si>
  <si>
    <t>LMP209</t>
  </si>
  <si>
    <t>LMP210</t>
  </si>
  <si>
    <t>LMP211</t>
  </si>
  <si>
    <t>LMP212</t>
  </si>
  <si>
    <t>LMP213</t>
  </si>
  <si>
    <t>LMP214</t>
  </si>
  <si>
    <t>LMP215</t>
  </si>
  <si>
    <t>LMP216</t>
  </si>
  <si>
    <t>Andhra Pradesh</t>
  </si>
  <si>
    <t>Kerala</t>
  </si>
  <si>
    <t>Karnataka</t>
  </si>
  <si>
    <t>Maharasthra</t>
  </si>
  <si>
    <t>Punjab</t>
  </si>
  <si>
    <t>Goa</t>
  </si>
  <si>
    <t>Tamil Nadu</t>
  </si>
  <si>
    <t>Telangana</t>
  </si>
  <si>
    <t>Odisha</t>
  </si>
  <si>
    <t>Haryana</t>
  </si>
  <si>
    <t>Assam</t>
  </si>
  <si>
    <t>Rajasthan</t>
  </si>
  <si>
    <t>Madhya Pradesh</t>
  </si>
  <si>
    <t>Uttar Pradesh</t>
  </si>
  <si>
    <t>Gujarat</t>
  </si>
  <si>
    <t>West Bengal</t>
  </si>
  <si>
    <t>Java</t>
  </si>
  <si>
    <t>Python</t>
  </si>
  <si>
    <t>DV</t>
  </si>
  <si>
    <t>DS</t>
  </si>
  <si>
    <t>DA</t>
  </si>
  <si>
    <t>Ms Office</t>
  </si>
  <si>
    <t>Ms office</t>
  </si>
  <si>
    <t>Excel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</si>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</sst>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3</xdr:row>
      <xdr:rowOff>133350</xdr:rowOff>
    </xdr:from>
    <xdr:to>
      <xdr:col>8</xdr:col>
      <xdr:colOff>447675</xdr:colOff>
      <xdr:row>6</xdr:row>
      <xdr:rowOff>28575</xdr:rowOff>
    </xdr:to>
    <xdr:sp macro="Reference_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1C73518-1845-97D5-0B06-B56221D4BA79}"/>
            </a:ext>
          </a:extLst>
        </xdr:cNvPr>
        <xdr:cNvSpPr/>
      </xdr:nvSpPr>
      <xdr:spPr>
        <a:xfrm>
          <a:off x="5781675" y="704850"/>
          <a:ext cx="752475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l"/>
          <a:r>
            <a:rPr lang="en-IN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GET</a:t>
          </a:r>
        </a:p>
      </xdr:txBody>
    </xdr:sp>
    <xdr:clientData/>
  </xdr:twoCellAnchor>
  <xdr:twoCellAnchor>
    <xdr:from>
      <xdr:col>11</xdr:col>
      <xdr:colOff>542925</xdr:colOff>
      <xdr:row>15</xdr:row>
      <xdr:rowOff>14287</xdr:rowOff>
    </xdr:from>
    <xdr:to>
      <xdr:col>13</xdr:col>
      <xdr:colOff>238125</xdr:colOff>
      <xdr:row>19</xdr:row>
      <xdr:rowOff>166687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29EBC4D-2A47-C0E2-6616-ACE31F3C45D3}"/>
            </a:ext>
          </a:extLst>
        </xdr:cNvPr>
        <xdr:cNvSpPr txBox="1"/>
      </xdr:nvSpPr>
      <xdr:spPr>
        <a:xfrm>
          <a:off x="8458200" y="2871787"/>
          <a:ext cx="914400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IN" sz="1100"/>
        </a:p>
      </xdr:txBody>
    </xdr:sp>
    <xdr:clientData/>
  </xdr:twoCellAnchor>
  <xdr:twoCellAnchor>
    <xdr:from>
      <xdr:col>7</xdr:col>
      <xdr:colOff>304800</xdr:colOff>
      <xdr:row>3</xdr:row>
      <xdr:rowOff>133350</xdr:rowOff>
    </xdr:from>
    <xdr:to>
      <xdr:col>8</xdr:col>
      <xdr:colOff>447675</xdr:colOff>
      <xdr:row>6</xdr:row>
      <xdr:rowOff>28575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543647-B1C9-D697-3F94-75AA831C490F}"/>
            </a:ext>
          </a:extLst>
        </xdr:cNvPr>
        <xdr:cNvSpPr/>
      </xdr:nvSpPr>
      <xdr:spPr>
        <a:xfrm>
          <a:off x="5781675" y="704850"/>
          <a:ext cx="752475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GET</a:t>
          </a:r>
        </a:p>
      </xdr:txBody>
    </xdr:sp>
    <xdr:clientData/>
  </xdr:twoCellAnchor>
  <xdr:twoCellAnchor>
    <xdr:from>
      <xdr:col>11</xdr:col>
      <xdr:colOff>542925</xdr:colOff>
      <xdr:row>15</xdr:row>
      <xdr:rowOff>14287</xdr:rowOff>
    </xdr:from>
    <xdr:to>
      <xdr:col>13</xdr:col>
      <xdr:colOff>238125</xdr:colOff>
      <xdr:row>19</xdr:row>
      <xdr:rowOff>166687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46F91DE6-A74E-34C1-437D-54C0389B5B9F}"/>
            </a:ext>
          </a:extLst>
        </xdr:cNvPr>
        <xdr:cNvSpPr txBox="1"/>
      </xdr:nvSpPr>
      <xdr:spPr>
        <a:xfrm>
          <a:off x="8458200" y="2871787"/>
          <a:ext cx="914400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3</xdr:row>
      <xdr:rowOff>133350</xdr:rowOff>
    </xdr:from>
    <xdr:to>
      <xdr:col>9</xdr:col>
      <xdr:colOff>200025</xdr:colOff>
      <xdr:row>6</xdr:row>
      <xdr:rowOff>28575</xdr:rowOff>
    </xdr:to>
    <xdr:sp macro="Reference_mac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0CC5616-C336-0FCF-EFB1-2982FEF12165}"/>
            </a:ext>
          </a:extLst>
        </xdr:cNvPr>
        <xdr:cNvSpPr/>
      </xdr:nvSpPr>
      <xdr:spPr>
        <a:xfrm>
          <a:off x="5781675" y="704850"/>
          <a:ext cx="752475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l"/>
          <a:r>
            <a:rPr lang="en-IN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GET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B923B-0FF5-4F9F-B612-234FD7B64198}">
  <dimension ref="A1:M17"/>
  <sheetViews>
    <sheetView workbookViewId="0">
      <selection activeCell="I13" sqref="I13"/>
    </sheetView>
  </sheetViews>
  <sheetFormatPr defaultRowHeight="15" x14ac:dyDescent="0.25"/>
  <cols>
    <col min="1" max="1" width="10.42578125" bestFit="1" customWidth="1"/>
    <col min="2" max="2" width="13.28515625" bestFit="1" customWidth="1"/>
    <col min="3" max="3" width="11.85546875" customWidth="1"/>
    <col min="4" max="4" width="15.5703125" customWidth="1"/>
    <col min="5" max="5" width="12.7109375" customWidth="1"/>
  </cols>
  <sheetData>
    <row r="1" spans="1:13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K1" s="3" t="s">
        <v>4</v>
      </c>
      <c r="L1" s="3" t="s">
        <v>48</v>
      </c>
      <c r="M1" s="3" t="s">
        <v>5</v>
      </c>
    </row>
    <row r="2" spans="1:13" x14ac:dyDescent="0.25">
      <c r="A2" s="2">
        <v>46182</v>
      </c>
      <c r="B2" s="1" t="s">
        <v>6</v>
      </c>
      <c r="C2" s="1" t="s">
        <v>8</v>
      </c>
      <c r="D2" s="1" t="s">
        <v>24</v>
      </c>
      <c r="E2" s="1" t="s">
        <v>40</v>
      </c>
      <c r="F2" s="1">
        <v>30</v>
      </c>
      <c r="K2" s="1" t="s">
        <v>40</v>
      </c>
      <c r="L2" s="1">
        <f>COUNTIF(E1:E17,K2)</f>
        <v>3</v>
      </c>
      <c r="M2" s="1">
        <f>SUMIFS(F1:F17,E1:E17,K2)</f>
        <v>101</v>
      </c>
    </row>
    <row r="3" spans="1:13" x14ac:dyDescent="0.25">
      <c r="A3" s="2">
        <v>46183</v>
      </c>
      <c r="B3" s="1" t="s">
        <v>7</v>
      </c>
      <c r="C3" s="1" t="s">
        <v>9</v>
      </c>
      <c r="D3" s="1" t="s">
        <v>25</v>
      </c>
      <c r="E3" s="1" t="s">
        <v>41</v>
      </c>
      <c r="F3" s="1">
        <v>34</v>
      </c>
      <c r="K3" s="1" t="s">
        <v>41</v>
      </c>
      <c r="L3" s="1">
        <f>COUNTIF(E1:E17,K3)</f>
        <v>3</v>
      </c>
      <c r="M3" s="1">
        <f>SUMIFS(F1:F17,E1:E17,K3)</f>
        <v>149</v>
      </c>
    </row>
    <row r="4" spans="1:13" x14ac:dyDescent="0.25">
      <c r="A4" s="2">
        <v>46184</v>
      </c>
      <c r="B4" s="1" t="s">
        <v>7</v>
      </c>
      <c r="C4" s="1" t="s">
        <v>10</v>
      </c>
      <c r="D4" s="1" t="s">
        <v>26</v>
      </c>
      <c r="E4" s="1" t="s">
        <v>42</v>
      </c>
      <c r="F4" s="1">
        <v>25</v>
      </c>
      <c r="K4" s="1" t="s">
        <v>42</v>
      </c>
      <c r="L4" s="1">
        <f>COUNTIF(E1:E17,K4)</f>
        <v>1</v>
      </c>
      <c r="M4" s="1">
        <f t="shared" ref="M4:M8" si="0">SUMIFS(F2:F18,E2:E18,K4)</f>
        <v>25</v>
      </c>
    </row>
    <row r="5" spans="1:13" x14ac:dyDescent="0.25">
      <c r="A5" s="2">
        <v>46185</v>
      </c>
      <c r="B5" s="1" t="s">
        <v>7</v>
      </c>
      <c r="C5" s="1" t="s">
        <v>11</v>
      </c>
      <c r="D5" s="1" t="s">
        <v>27</v>
      </c>
      <c r="E5" s="1" t="s">
        <v>43</v>
      </c>
      <c r="F5" s="1">
        <v>64</v>
      </c>
      <c r="K5" s="1" t="s">
        <v>43</v>
      </c>
      <c r="L5" s="1">
        <f>COUNTIF(E1:E17,K5)</f>
        <v>1</v>
      </c>
      <c r="M5" s="1">
        <f>SUMIFS(F1:F17,E1:E17,K5)</f>
        <v>64</v>
      </c>
    </row>
    <row r="6" spans="1:13" x14ac:dyDescent="0.25">
      <c r="A6" s="2">
        <v>46186</v>
      </c>
      <c r="B6" s="1" t="s">
        <v>7</v>
      </c>
      <c r="C6" s="1" t="s">
        <v>12</v>
      </c>
      <c r="D6" s="1" t="s">
        <v>28</v>
      </c>
      <c r="E6" s="1" t="s">
        <v>44</v>
      </c>
      <c r="F6" s="1">
        <v>22</v>
      </c>
      <c r="K6" s="1" t="s">
        <v>44</v>
      </c>
      <c r="L6" s="1">
        <f>COUNTIF(E1:E17,K6)</f>
        <v>4</v>
      </c>
      <c r="M6" s="1">
        <f>SUMIFS(F1:F17,E1:E17,K6)</f>
        <v>130</v>
      </c>
    </row>
    <row r="7" spans="1:13" x14ac:dyDescent="0.25">
      <c r="A7" s="2">
        <v>46187</v>
      </c>
      <c r="B7" s="1" t="s">
        <v>7</v>
      </c>
      <c r="C7" s="1" t="s">
        <v>13</v>
      </c>
      <c r="D7" s="1" t="s">
        <v>29</v>
      </c>
      <c r="E7" s="1" t="s">
        <v>44</v>
      </c>
      <c r="F7" s="1">
        <v>34</v>
      </c>
      <c r="K7" s="1" t="s">
        <v>45</v>
      </c>
      <c r="L7" s="1">
        <f>COUNTIF(E1:E17,K7)</f>
        <v>2</v>
      </c>
      <c r="M7" s="1">
        <f>SUMIFS(F1:F17,E1:E17,K7)</f>
        <v>116</v>
      </c>
    </row>
    <row r="8" spans="1:13" x14ac:dyDescent="0.25">
      <c r="A8" s="2">
        <v>46188</v>
      </c>
      <c r="B8" s="1" t="s">
        <v>7</v>
      </c>
      <c r="C8" s="1" t="s">
        <v>14</v>
      </c>
      <c r="D8" s="1" t="s">
        <v>30</v>
      </c>
      <c r="E8" s="1" t="s">
        <v>41</v>
      </c>
      <c r="F8" s="1">
        <v>81</v>
      </c>
      <c r="K8" s="1" t="s">
        <v>47</v>
      </c>
      <c r="L8" s="1">
        <f>COUNTIF(E1:E17,K8)</f>
        <v>2</v>
      </c>
      <c r="M8" s="1">
        <f>SUMIFS(F1:F17,E1:E17,K8)</f>
        <v>43</v>
      </c>
    </row>
    <row r="9" spans="1:13" x14ac:dyDescent="0.25">
      <c r="A9" s="2">
        <v>46189</v>
      </c>
      <c r="B9" s="1" t="s">
        <v>7</v>
      </c>
      <c r="C9" s="1" t="s">
        <v>15</v>
      </c>
      <c r="D9" s="1" t="s">
        <v>31</v>
      </c>
      <c r="E9" s="1" t="s">
        <v>40</v>
      </c>
      <c r="F9" s="1">
        <v>25</v>
      </c>
    </row>
    <row r="10" spans="1:13" x14ac:dyDescent="0.25">
      <c r="A10" s="2">
        <v>46190</v>
      </c>
      <c r="B10" s="1" t="s">
        <v>7</v>
      </c>
      <c r="C10" s="1" t="s">
        <v>16</v>
      </c>
      <c r="D10" s="1" t="s">
        <v>32</v>
      </c>
      <c r="E10" s="1" t="s">
        <v>40</v>
      </c>
      <c r="F10" s="1">
        <v>46</v>
      </c>
    </row>
    <row r="11" spans="1:13" x14ac:dyDescent="0.25">
      <c r="A11" s="2">
        <v>46191</v>
      </c>
      <c r="B11" s="1" t="s">
        <v>7</v>
      </c>
      <c r="C11" s="1" t="s">
        <v>17</v>
      </c>
      <c r="D11" s="1" t="s">
        <v>33</v>
      </c>
      <c r="E11" s="1" t="s">
        <v>44</v>
      </c>
      <c r="F11" s="1">
        <v>37</v>
      </c>
    </row>
    <row r="12" spans="1:13" x14ac:dyDescent="0.25">
      <c r="A12" s="2">
        <v>46192</v>
      </c>
      <c r="B12" s="1" t="s">
        <v>7</v>
      </c>
      <c r="C12" s="1" t="s">
        <v>18</v>
      </c>
      <c r="D12" s="1" t="s">
        <v>34</v>
      </c>
      <c r="E12" s="1" t="s">
        <v>45</v>
      </c>
      <c r="F12" s="1">
        <v>82</v>
      </c>
    </row>
    <row r="13" spans="1:13" x14ac:dyDescent="0.25">
      <c r="A13" s="2">
        <v>46193</v>
      </c>
      <c r="B13" s="1" t="s">
        <v>7</v>
      </c>
      <c r="C13" s="1" t="s">
        <v>19</v>
      </c>
      <c r="D13" s="1" t="s">
        <v>35</v>
      </c>
      <c r="E13" s="1" t="s">
        <v>46</v>
      </c>
      <c r="F13" s="1">
        <v>34</v>
      </c>
    </row>
    <row r="14" spans="1:13" x14ac:dyDescent="0.25">
      <c r="A14" s="2">
        <v>46194</v>
      </c>
      <c r="B14" s="1" t="s">
        <v>7</v>
      </c>
      <c r="C14" s="1" t="s">
        <v>20</v>
      </c>
      <c r="D14" s="1" t="s">
        <v>36</v>
      </c>
      <c r="E14" s="1" t="s">
        <v>47</v>
      </c>
      <c r="F14" s="1">
        <v>26</v>
      </c>
    </row>
    <row r="15" spans="1:13" x14ac:dyDescent="0.25">
      <c r="A15" s="2">
        <v>46195</v>
      </c>
      <c r="B15" s="1" t="s">
        <v>7</v>
      </c>
      <c r="C15" s="1" t="s">
        <v>21</v>
      </c>
      <c r="D15" s="1" t="s">
        <v>37</v>
      </c>
      <c r="E15" s="1" t="s">
        <v>41</v>
      </c>
      <c r="F15" s="1">
        <v>34</v>
      </c>
    </row>
    <row r="16" spans="1:13" x14ac:dyDescent="0.25">
      <c r="A16" s="2">
        <v>46196</v>
      </c>
      <c r="B16" s="1" t="s">
        <v>7</v>
      </c>
      <c r="C16" s="1" t="s">
        <v>22</v>
      </c>
      <c r="D16" s="1" t="s">
        <v>38</v>
      </c>
      <c r="E16" s="1" t="s">
        <v>47</v>
      </c>
      <c r="F16" s="1">
        <v>17</v>
      </c>
    </row>
    <row r="17" spans="1:6" x14ac:dyDescent="0.25">
      <c r="A17" s="2">
        <v>46197</v>
      </c>
      <c r="B17" s="1" t="s">
        <v>7</v>
      </c>
      <c r="C17" s="1" t="s">
        <v>23</v>
      </c>
      <c r="D17" s="1" t="s">
        <v>39</v>
      </c>
      <c r="E17" s="1" t="s">
        <v>44</v>
      </c>
      <c r="F17" s="1">
        <v>37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8B89-097A-4C58-A6F8-43FC9D1C8E80}">
  <dimension ref="A1:M17"/>
  <sheetViews>
    <sheetView tabSelected="1" workbookViewId="0">
      <selection activeCell="J24" sqref="J24"/>
    </sheetView>
  </sheetViews>
  <sheetFormatPr defaultRowHeight="15" x14ac:dyDescent="0.25"/>
  <cols>
    <col min="1" max="1" width="11.140625" customWidth="1"/>
    <col min="3" max="3" width="11.85546875" customWidth="1"/>
    <col min="4" max="4" width="15.5703125" customWidth="1"/>
    <col min="5" max="5" width="12.7109375" customWidth="1"/>
  </cols>
  <sheetData>
    <row r="1" spans="1:13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K1" s="3" t="s">
        <v>4</v>
      </c>
      <c r="L1" s="3" t="s">
        <v>48</v>
      </c>
      <c r="M1" s="3" t="s">
        <v>5</v>
      </c>
    </row>
    <row r="2" spans="1:13" x14ac:dyDescent="0.25">
      <c r="A2" s="2">
        <v>46182</v>
      </c>
      <c r="B2" s="1" t="s">
        <v>6</v>
      </c>
      <c r="C2" s="1" t="s">
        <v>8</v>
      </c>
      <c r="D2" s="1" t="s">
        <v>24</v>
      </c>
      <c r="E2" s="1" t="s">
        <v>40</v>
      </c>
      <c r="F2" s="1">
        <v>30</v>
      </c>
      <c r="K2" s="1" t="s">
        <v>40</v>
      </c>
      <c r="L2" s="1">
        <f>COUNTIF(E1:E17,K2)</f>
        <v>3</v>
      </c>
      <c r="M2" s="1">
        <f>SUMIFS(F1:F17,E1:E17,K2)</f>
        <v>101</v>
      </c>
    </row>
    <row r="3" spans="1:13" x14ac:dyDescent="0.25">
      <c r="A3" s="2">
        <v>46183</v>
      </c>
      <c r="B3" s="1" t="s">
        <v>7</v>
      </c>
      <c r="C3" s="1" t="s">
        <v>9</v>
      </c>
      <c r="D3" s="1" t="s">
        <v>25</v>
      </c>
      <c r="E3" s="1" t="s">
        <v>41</v>
      </c>
      <c r="F3" s="1">
        <v>34</v>
      </c>
      <c r="K3" s="1" t="s">
        <v>41</v>
      </c>
      <c r="L3" s="1">
        <f>COUNTIF(E1:E17,K3)</f>
        <v>3</v>
      </c>
      <c r="M3" s="1">
        <f>SUMIFS(F1:F17,E1:E17,K3)</f>
        <v>149</v>
      </c>
    </row>
    <row r="4" spans="1:13" x14ac:dyDescent="0.25">
      <c r="A4" s="2">
        <v>46184</v>
      </c>
      <c r="B4" s="1" t="s">
        <v>7</v>
      </c>
      <c r="C4" s="1" t="s">
        <v>10</v>
      </c>
      <c r="D4" s="1" t="s">
        <v>26</v>
      </c>
      <c r="E4" s="1" t="s">
        <v>42</v>
      </c>
      <c r="F4" s="1">
        <v>25</v>
      </c>
      <c r="K4" s="1" t="s">
        <v>42</v>
      </c>
      <c r="L4" s="1">
        <f>COUNTIF(E1:E17,K4)</f>
        <v>1</v>
      </c>
      <c r="M4" s="1">
        <f t="shared" ref="M4:M8" si="0">SUMIFS(F2:F18,E2:E18,K4)</f>
        <v>25</v>
      </c>
    </row>
    <row r="5" spans="1:13" x14ac:dyDescent="0.25">
      <c r="A5" s="2">
        <v>46185</v>
      </c>
      <c r="B5" s="1" t="s">
        <v>7</v>
      </c>
      <c r="C5" s="1" t="s">
        <v>11</v>
      </c>
      <c r="D5" s="1" t="s">
        <v>27</v>
      </c>
      <c r="E5" s="1" t="s">
        <v>43</v>
      </c>
      <c r="F5" s="1">
        <v>64</v>
      </c>
      <c r="K5" s="1" t="s">
        <v>43</v>
      </c>
      <c r="L5" s="1">
        <f>COUNTIF(E1:E17,K5)</f>
        <v>1</v>
      </c>
      <c r="M5" s="1">
        <f>SUMIFS(F1:F17,E1:E17,K5)</f>
        <v>64</v>
      </c>
    </row>
    <row r="6" spans="1:13" x14ac:dyDescent="0.25">
      <c r="A6" s="2">
        <v>46186</v>
      </c>
      <c r="B6" s="1" t="s">
        <v>7</v>
      </c>
      <c r="C6" s="1" t="s">
        <v>12</v>
      </c>
      <c r="D6" s="1" t="s">
        <v>28</v>
      </c>
      <c r="E6" s="1" t="s">
        <v>44</v>
      </c>
      <c r="F6" s="1">
        <v>22</v>
      </c>
      <c r="K6" s="1" t="s">
        <v>44</v>
      </c>
      <c r="L6" s="1">
        <f>COUNTIF(E1:E17,K6)</f>
        <v>4</v>
      </c>
      <c r="M6" s="1">
        <f>SUMIFS(F1:F17,E1:E17,K6)</f>
        <v>130</v>
      </c>
    </row>
    <row r="7" spans="1:13" x14ac:dyDescent="0.25">
      <c r="A7" s="2">
        <v>46187</v>
      </c>
      <c r="B7" s="1" t="s">
        <v>7</v>
      </c>
      <c r="C7" s="1" t="s">
        <v>13</v>
      </c>
      <c r="D7" s="1" t="s">
        <v>29</v>
      </c>
      <c r="E7" s="1" t="s">
        <v>44</v>
      </c>
      <c r="F7" s="1">
        <v>34</v>
      </c>
      <c r="K7" s="1" t="s">
        <v>45</v>
      </c>
      <c r="L7" s="1">
        <f>COUNTIF(E1:E17,K7)</f>
        <v>2</v>
      </c>
      <c r="M7" s="1">
        <f>SUMIFS(F1:F17,E1:E17,K7)</f>
        <v>116</v>
      </c>
    </row>
    <row r="8" spans="1:13" x14ac:dyDescent="0.25">
      <c r="A8" s="2">
        <v>46188</v>
      </c>
      <c r="B8" s="1" t="s">
        <v>7</v>
      </c>
      <c r="C8" s="1" t="s">
        <v>14</v>
      </c>
      <c r="D8" s="1" t="s">
        <v>30</v>
      </c>
      <c r="E8" s="1" t="s">
        <v>41</v>
      </c>
      <c r="F8" s="1">
        <v>81</v>
      </c>
      <c r="K8" s="1" t="s">
        <v>47</v>
      </c>
      <c r="L8" s="1">
        <f>COUNTIF(E1:E17,K8)</f>
        <v>2</v>
      </c>
      <c r="M8" s="1">
        <f>SUMIFS(F1:F17,E1:E17,K8)</f>
        <v>43</v>
      </c>
    </row>
    <row r="9" spans="1:13" x14ac:dyDescent="0.25">
      <c r="A9" s="2">
        <v>46189</v>
      </c>
      <c r="B9" s="1" t="s">
        <v>7</v>
      </c>
      <c r="C9" s="1" t="s">
        <v>15</v>
      </c>
      <c r="D9" s="1" t="s">
        <v>31</v>
      </c>
      <c r="E9" s="1" t="s">
        <v>40</v>
      </c>
      <c r="F9" s="1">
        <v>25</v>
      </c>
    </row>
    <row r="10" spans="1:13" x14ac:dyDescent="0.25">
      <c r="A10" s="2">
        <v>46190</v>
      </c>
      <c r="B10" s="1" t="s">
        <v>7</v>
      </c>
      <c r="C10" s="1" t="s">
        <v>16</v>
      </c>
      <c r="D10" s="1" t="s">
        <v>32</v>
      </c>
      <c r="E10" s="1" t="s">
        <v>40</v>
      </c>
      <c r="F10" s="1">
        <v>46</v>
      </c>
    </row>
    <row r="11" spans="1:13" x14ac:dyDescent="0.25">
      <c r="A11" s="2">
        <v>46191</v>
      </c>
      <c r="B11" s="1" t="s">
        <v>7</v>
      </c>
      <c r="C11" s="1" t="s">
        <v>17</v>
      </c>
      <c r="D11" s="1" t="s">
        <v>33</v>
      </c>
      <c r="E11" s="1" t="s">
        <v>44</v>
      </c>
      <c r="F11" s="1">
        <v>37</v>
      </c>
    </row>
    <row r="12" spans="1:13" x14ac:dyDescent="0.25">
      <c r="A12" s="2">
        <v>46192</v>
      </c>
      <c r="B12" s="1" t="s">
        <v>7</v>
      </c>
      <c r="C12" s="1" t="s">
        <v>18</v>
      </c>
      <c r="D12" s="1" t="s">
        <v>34</v>
      </c>
      <c r="E12" s="1" t="s">
        <v>45</v>
      </c>
      <c r="F12" s="1">
        <v>82</v>
      </c>
    </row>
    <row r="13" spans="1:13" x14ac:dyDescent="0.25">
      <c r="A13" s="2">
        <v>46193</v>
      </c>
      <c r="B13" s="1" t="s">
        <v>7</v>
      </c>
      <c r="C13" s="1" t="s">
        <v>19</v>
      </c>
      <c r="D13" s="1" t="s">
        <v>35</v>
      </c>
      <c r="E13" s="1" t="s">
        <v>46</v>
      </c>
      <c r="F13" s="1">
        <v>34</v>
      </c>
    </row>
    <row r="14" spans="1:13" x14ac:dyDescent="0.25">
      <c r="A14" s="2">
        <v>46194</v>
      </c>
      <c r="B14" s="1" t="s">
        <v>7</v>
      </c>
      <c r="C14" s="1" t="s">
        <v>20</v>
      </c>
      <c r="D14" s="1" t="s">
        <v>36</v>
      </c>
      <c r="E14" s="1" t="s">
        <v>47</v>
      </c>
      <c r="F14" s="1">
        <v>26</v>
      </c>
    </row>
    <row r="15" spans="1:13" x14ac:dyDescent="0.25">
      <c r="A15" s="2">
        <v>46195</v>
      </c>
      <c r="B15" s="1" t="s">
        <v>7</v>
      </c>
      <c r="C15" s="1" t="s">
        <v>21</v>
      </c>
      <c r="D15" s="1" t="s">
        <v>37</v>
      </c>
      <c r="E15" s="1" t="s">
        <v>41</v>
      </c>
      <c r="F15" s="1">
        <v>34</v>
      </c>
    </row>
    <row r="16" spans="1:13" x14ac:dyDescent="0.25">
      <c r="A16" s="2">
        <v>46196</v>
      </c>
      <c r="B16" s="1" t="s">
        <v>7</v>
      </c>
      <c r="C16" s="1" t="s">
        <v>22</v>
      </c>
      <c r="D16" s="1" t="s">
        <v>38</v>
      </c>
      <c r="E16" s="1" t="s">
        <v>47</v>
      </c>
      <c r="F16" s="1">
        <v>17</v>
      </c>
    </row>
    <row r="17" spans="1:6" x14ac:dyDescent="0.25">
      <c r="A17" s="2">
        <v>46197</v>
      </c>
      <c r="B17" s="1" t="s">
        <v>7</v>
      </c>
      <c r="C17" s="1" t="s">
        <v>23</v>
      </c>
      <c r="D17" s="1" t="s">
        <v>39</v>
      </c>
      <c r="E17" s="1" t="s">
        <v>44</v>
      </c>
      <c r="F17" s="1">
        <v>37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</dc:creator>
  <cp:lastModifiedBy>MITS</cp:lastModifiedBy>
  <dcterms:created xsi:type="dcterms:W3CDTF">2026-06-09T04:11:46Z</dcterms:created>
  <dcterms:modified xsi:type="dcterms:W3CDTF">2026-06-09T04:41:46Z</dcterms:modified>
</cp:coreProperties>
</file>