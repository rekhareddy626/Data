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063CE8B6-81F2-477A-9CA5-20EC843CA202}" xr6:coauthVersionLast="47" xr6:coauthVersionMax="47" xr10:uidLastSave="{00000000-0000-0000-0000-000000000000}"/>
  <bookViews>
    <workbookView xWindow="-120" yWindow="-120" windowWidth="29040" windowHeight="15720" xr2:uid="{01310994-9C37-49A9-A10B-B26D406FB6E5}"/>
  </bookViews>
  <sheets>
    <sheet name="Bank Customer Churn Prediction" sheetId="1" r:id="rId1"/>
  </sheets>
  <calcPr calcId="0"/>
</workbook>
</file>

<file path=xl/calcChain.xml><?xml version="1.0" encoding="utf-8"?>
<calcChain xmlns="http://schemas.openxmlformats.org/spreadsheetml/2006/main">
  <c r="U21" i="1" l="1"/>
  <c r="U23" i="1"/>
  <c r="U19" i="1"/>
  <c r="U17" i="1"/>
  <c r="U15" i="1"/>
  <c r="U13" i="1"/>
  <c r="U11" i="1"/>
  <c r="U9" i="1"/>
  <c r="R17" i="1"/>
  <c r="R15" i="1"/>
  <c r="R13" i="1"/>
  <c r="R11" i="1"/>
  <c r="R9" i="1"/>
</calcChain>
</file>

<file path=xl/sharedStrings.xml><?xml version="1.0" encoding="utf-8"?>
<sst xmlns="http://schemas.openxmlformats.org/spreadsheetml/2006/main" count="68" uniqueCount="33">
  <si>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</si>
  <si>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</si>
  <si>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</si>
  <si>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</si>
  <si>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</si>
  <si>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</si>
  <si>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</si>
  <si>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</si>
  <si>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</si>
  <si>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</si>
  <si>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</si>
  <si>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</si>
  <si>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</si>
  <si>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</si>
  <si>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</si>
  <si>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</si>
  <si>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</si>
  <si>
    <t>Statistical Functions</t>
  </si>
  <si>
    <t>COUNT</t>
  </si>
  <si>
    <t>COUNTA</t>
  </si>
  <si>
    <t>COUNTBLANK</t>
  </si>
  <si>
    <t>COUNTIF</t>
  </si>
  <si>
    <t>COUNTIFS</t>
  </si>
  <si>
    <t>MEDIAN</t>
  </si>
  <si>
    <t>MODE</t>
  </si>
  <si>
    <t>MEAN</t>
  </si>
  <si>
    <t>STDEV</t>
  </si>
  <si>
    <t>STDEV.S</t>
  </si>
  <si>
    <t>VARIANCE</t>
  </si>
  <si>
    <t>VARIANCE.S</t>
  </si>
  <si>
    <t>Column1</t>
  </si>
  <si>
    <t>Column2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</si>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</sst>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8" fillId="0" borderId="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308A2E-3141-4EB9-B504-54DA9228B4F7}" name="Table1" displayName="Table1" ref="C6:N25" totalsRowShown="0">
  <autoFilter ref="C6:N25" xr:uid="{45308A2E-3141-4EB9-B504-54DA9228B4F7}"/>
  <tableColumns count="12">
    <tableColumn id="1" xr3:uid="{A3E04316-57AE-412B-91FE-DA91D02651BC}" name="customer_id"/>
    <tableColumn id="2" xr3:uid="{FF0026E3-AE6F-4CF7-8BC4-E8B0A4E70AC6}" name="credit_score"/>
    <tableColumn id="3" xr3:uid="{1B5F4D04-0484-4BE1-B679-827A659B0C2B}" name="country"/>
    <tableColumn id="4" xr3:uid="{4F45752F-6EAB-4AAC-8335-9D5B4782450D}" name="gender"/>
    <tableColumn id="5" xr3:uid="{D77B69DB-1C1B-4F8A-8AAE-1A0754E1E3F6}" name="age"/>
    <tableColumn id="6" xr3:uid="{C016CE79-4975-45E3-967D-D3C4727A1B16}" name="tenure"/>
    <tableColumn id="7" xr3:uid="{25CBA43C-18EA-4801-B409-65B0C8092A10}" name="balance"/>
    <tableColumn id="8" xr3:uid="{CC32C4B8-F81C-45B2-99E4-71396F510EB3}" name="products_number"/>
    <tableColumn id="9" xr3:uid="{5FB266C5-13A4-4068-A620-39814C04D6F4}" name="credit_card"/>
    <tableColumn id="10" xr3:uid="{2AC3A697-B36A-4EEA-BDBF-A74D8253F3D6}" name="active_member"/>
    <tableColumn id="11" xr3:uid="{FB02BB18-3976-4E78-91E0-950C35120995}" name="estimated_salary"/>
    <tableColumn id="12" xr3:uid="{88EE928F-7E82-4D2F-A736-0E2B12E23891}" name="chur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607D9E-4FF4-470F-AB05-BA00CFC6C7F7}" name="Table2" displayName="Table2" ref="Q8:R17" totalsRowShown="0">
  <autoFilter ref="Q8:R17" xr:uid="{B8607D9E-4FF4-470F-AB05-BA00CFC6C7F7}"/>
  <tableColumns count="2">
    <tableColumn id="1" xr3:uid="{1AE218B8-E8C0-4809-928D-FCEC54A6C0F9}" name="Column1"/>
    <tableColumn id="2" xr3:uid="{BA0646AE-2330-487D-96C7-730049511968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E27AFE-E022-4DC6-8BF7-B657725EC63D}" name="Table3" displayName="Table3" ref="T8:U23" totalsRowShown="0">
  <autoFilter ref="T8:U23" xr:uid="{FEE27AFE-E022-4DC6-8BF7-B657725EC63D}"/>
  <tableColumns count="2">
    <tableColumn id="1" xr3:uid="{ED36B7F4-14CC-4534-AB8C-31AD06108A8D}" name="Column1"/>
    <tableColumn id="2" xr3:uid="{5F1687F5-9E44-40A5-A19E-29C316A39739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C564-FB93-42CA-9057-5835606AEAE4}">
  <dimension ref="A1:V30"/>
  <sheetViews>
    <sheetView tabSelected="1" topLeftCell="B1" workbookViewId="0">
      <selection activeCell="U22" sqref="U22"/>
    </sheetView>
  </sheetViews>
  <sheetFormatPr defaultRowHeight="15" x14ac:dyDescent="0.25"/>
  <cols>
    <col min="1" max="1" width="11.85546875" customWidth="1"/>
    <col min="2" max="2" width="14.140625" customWidth="1"/>
    <col min="3" max="3" width="14" customWidth="1"/>
    <col min="4" max="4" width="14.7109375" customWidth="1"/>
    <col min="5" max="5" width="9.42578125" customWidth="1"/>
    <col min="8" max="8" width="16.42578125" customWidth="1"/>
    <col min="9" max="9" width="18.85546875" customWidth="1"/>
    <col min="10" max="10" width="18.7109375" customWidth="1"/>
    <col min="11" max="11" width="17" customWidth="1"/>
    <col min="12" max="13" width="18.28515625" customWidth="1"/>
    <col min="15" max="15" width="14.28515625" customWidth="1"/>
    <col min="16" max="16" width="12.5703125" customWidth="1"/>
    <col min="17" max="17" width="11" bestFit="1" customWidth="1"/>
    <col min="20" max="20" width="13.42578125" customWidth="1"/>
    <col min="21" max="21" width="11" bestFit="1" customWidth="1"/>
  </cols>
  <sheetData>
    <row r="1" spans="1:22" ht="15.75" thickBo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2" x14ac:dyDescent="0.25">
      <c r="A2" s="5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spans="1:22" ht="26.25" x14ac:dyDescent="0.4">
      <c r="A3" s="5"/>
      <c r="B3" s="4"/>
      <c r="C3" s="5"/>
      <c r="D3" s="5"/>
      <c r="E3" s="5"/>
      <c r="F3" s="5"/>
      <c r="G3" s="5"/>
      <c r="H3" s="10" t="s">
        <v>17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</row>
    <row r="4" spans="1:22" x14ac:dyDescent="0.25">
      <c r="A4" s="5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6"/>
    </row>
    <row r="5" spans="1:22" x14ac:dyDescent="0.25">
      <c r="A5" s="5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6"/>
    </row>
    <row r="6" spans="1:22" x14ac:dyDescent="0.25">
      <c r="B6" s="4"/>
      <c r="C6" s="5" t="s">
        <v>0</v>
      </c>
      <c r="D6" s="5" t="s">
        <v>1</v>
      </c>
      <c r="E6" s="5" t="s">
        <v>2</v>
      </c>
      <c r="F6" s="5" t="s">
        <v>3</v>
      </c>
      <c r="G6" s="5" t="s">
        <v>4</v>
      </c>
      <c r="H6" s="5" t="s">
        <v>5</v>
      </c>
      <c r="I6" s="5" t="s">
        <v>6</v>
      </c>
      <c r="J6" s="5" t="s">
        <v>7</v>
      </c>
      <c r="K6" s="5" t="s">
        <v>8</v>
      </c>
      <c r="L6" s="5" t="s">
        <v>9</v>
      </c>
      <c r="M6" s="5" t="s">
        <v>10</v>
      </c>
      <c r="N6" s="5" t="s">
        <v>11</v>
      </c>
      <c r="O6" s="5"/>
      <c r="P6" s="5"/>
      <c r="Q6" s="5"/>
      <c r="R6" s="5"/>
      <c r="S6" s="5"/>
      <c r="T6" s="5"/>
      <c r="U6" s="5"/>
      <c r="V6" s="6"/>
    </row>
    <row r="7" spans="1:22" x14ac:dyDescent="0.25">
      <c r="B7" s="4"/>
      <c r="C7" s="5">
        <v>15634602</v>
      </c>
      <c r="D7" s="5">
        <v>619</v>
      </c>
      <c r="E7" s="5" t="s">
        <v>12</v>
      </c>
      <c r="F7" s="5" t="s">
        <v>13</v>
      </c>
      <c r="G7" s="5">
        <v>42</v>
      </c>
      <c r="H7" s="5">
        <v>2</v>
      </c>
      <c r="I7" s="5">
        <v>0</v>
      </c>
      <c r="J7" s="5">
        <v>1</v>
      </c>
      <c r="K7" s="5">
        <v>1</v>
      </c>
      <c r="L7" s="5">
        <v>1</v>
      </c>
      <c r="M7" s="5">
        <v>101348.88</v>
      </c>
      <c r="N7" s="5">
        <v>1</v>
      </c>
      <c r="O7" s="5"/>
      <c r="P7" s="5"/>
      <c r="Q7" s="5"/>
      <c r="R7" s="5"/>
      <c r="S7" s="5"/>
      <c r="T7" s="5"/>
      <c r="U7" s="5"/>
      <c r="V7" s="6"/>
    </row>
    <row r="8" spans="1:22" x14ac:dyDescent="0.25">
      <c r="B8" s="4"/>
      <c r="C8" s="5">
        <v>15647311</v>
      </c>
      <c r="D8" s="5">
        <v>608</v>
      </c>
      <c r="E8" s="5" t="s">
        <v>14</v>
      </c>
      <c r="F8" s="5" t="s">
        <v>13</v>
      </c>
      <c r="G8" s="5">
        <v>41</v>
      </c>
      <c r="H8" s="5">
        <v>1</v>
      </c>
      <c r="I8" s="5">
        <v>83807.86</v>
      </c>
      <c r="J8" s="5">
        <v>1</v>
      </c>
      <c r="K8" s="5">
        <v>0</v>
      </c>
      <c r="L8" s="5">
        <v>1</v>
      </c>
      <c r="M8" s="5">
        <v>112542.58</v>
      </c>
      <c r="N8" s="5">
        <v>0</v>
      </c>
      <c r="O8" s="5"/>
      <c r="P8" s="5"/>
      <c r="Q8" s="5" t="s">
        <v>30</v>
      </c>
      <c r="R8" s="5" t="s">
        <v>31</v>
      </c>
      <c r="S8" s="5"/>
      <c r="T8" s="5" t="s">
        <v>30</v>
      </c>
      <c r="U8" s="5" t="s">
        <v>31</v>
      </c>
      <c r="V8" s="6"/>
    </row>
    <row r="9" spans="1:22" x14ac:dyDescent="0.25">
      <c r="B9" s="4"/>
      <c r="C9" s="5">
        <v>15619304</v>
      </c>
      <c r="D9" s="5">
        <v>502</v>
      </c>
      <c r="E9" s="5" t="s">
        <v>12</v>
      </c>
      <c r="F9" s="5" t="s">
        <v>13</v>
      </c>
      <c r="G9" s="5">
        <v>42</v>
      </c>
      <c r="H9" s="5">
        <v>8</v>
      </c>
      <c r="I9" s="5">
        <v>159660.79999999999</v>
      </c>
      <c r="J9" s="5">
        <v>3</v>
      </c>
      <c r="K9" s="5">
        <v>1</v>
      </c>
      <c r="L9" s="5">
        <v>0</v>
      </c>
      <c r="M9" s="5">
        <v>113931.57</v>
      </c>
      <c r="N9" s="5">
        <v>1</v>
      </c>
      <c r="O9" s="5"/>
      <c r="P9" s="5"/>
      <c r="Q9" s="5" t="s">
        <v>18</v>
      </c>
      <c r="R9" s="5">
        <f>COUNT(Table1[customer_id])</f>
        <v>19</v>
      </c>
      <c r="S9" s="5"/>
      <c r="T9" s="5" t="s">
        <v>23</v>
      </c>
      <c r="U9" s="5">
        <f>MEDIAN(Table1[estimated_salary])</f>
        <v>79084.100000000006</v>
      </c>
      <c r="V9" s="6"/>
    </row>
    <row r="10" spans="1:22" x14ac:dyDescent="0.25">
      <c r="B10" s="4"/>
      <c r="C10" s="5">
        <v>15701354</v>
      </c>
      <c r="D10" s="5">
        <v>699</v>
      </c>
      <c r="E10" s="5" t="s">
        <v>12</v>
      </c>
      <c r="F10" s="5" t="s">
        <v>13</v>
      </c>
      <c r="G10" s="5">
        <v>39</v>
      </c>
      <c r="H10" s="5">
        <v>1</v>
      </c>
      <c r="I10" s="5">
        <v>0</v>
      </c>
      <c r="J10" s="5">
        <v>2</v>
      </c>
      <c r="K10" s="5">
        <v>0</v>
      </c>
      <c r="L10" s="5">
        <v>0</v>
      </c>
      <c r="M10" s="5">
        <v>93826.63</v>
      </c>
      <c r="N10" s="5">
        <v>0</v>
      </c>
      <c r="O10" s="5"/>
      <c r="P10" s="5"/>
      <c r="Q10" s="5"/>
      <c r="R10" s="5"/>
      <c r="S10" s="5"/>
      <c r="T10" s="5"/>
      <c r="U10" s="5"/>
      <c r="V10" s="6"/>
    </row>
    <row r="11" spans="1:22" x14ac:dyDescent="0.25">
      <c r="B11" s="4"/>
      <c r="C11" s="5">
        <v>15737888</v>
      </c>
      <c r="D11" s="5">
        <v>850</v>
      </c>
      <c r="E11" s="5" t="s">
        <v>14</v>
      </c>
      <c r="F11" s="5" t="s">
        <v>13</v>
      </c>
      <c r="G11" s="5">
        <v>43</v>
      </c>
      <c r="H11" s="5">
        <v>2</v>
      </c>
      <c r="I11" s="5">
        <v>125510.82</v>
      </c>
      <c r="J11" s="5">
        <v>1</v>
      </c>
      <c r="K11" s="5">
        <v>1</v>
      </c>
      <c r="L11" s="5">
        <v>1</v>
      </c>
      <c r="M11" s="5">
        <v>79084.100000000006</v>
      </c>
      <c r="N11" s="5">
        <v>0</v>
      </c>
      <c r="O11" s="5"/>
      <c r="P11" s="5"/>
      <c r="Q11" s="5" t="s">
        <v>19</v>
      </c>
      <c r="R11" s="5">
        <f>COUNTA(B:B)</f>
        <v>0</v>
      </c>
      <c r="S11" s="5"/>
      <c r="T11" s="5" t="s">
        <v>24</v>
      </c>
      <c r="U11" s="5">
        <f>MODE(Table1[credit_card])</f>
        <v>1</v>
      </c>
      <c r="V11" s="6"/>
    </row>
    <row r="12" spans="1:22" x14ac:dyDescent="0.25">
      <c r="B12" s="4"/>
      <c r="C12" s="5">
        <v>15574012</v>
      </c>
      <c r="D12" s="5">
        <v>645</v>
      </c>
      <c r="E12" s="5" t="s">
        <v>14</v>
      </c>
      <c r="F12" s="5" t="s">
        <v>15</v>
      </c>
      <c r="G12" s="5">
        <v>44</v>
      </c>
      <c r="H12" s="5">
        <v>8</v>
      </c>
      <c r="I12" s="5">
        <v>113755.78</v>
      </c>
      <c r="J12" s="5">
        <v>2</v>
      </c>
      <c r="K12" s="5">
        <v>1</v>
      </c>
      <c r="L12" s="5">
        <v>0</v>
      </c>
      <c r="M12" s="5">
        <v>149756.71</v>
      </c>
      <c r="N12" s="5">
        <v>1</v>
      </c>
      <c r="O12" s="5"/>
      <c r="P12" s="5"/>
      <c r="Q12" s="5"/>
      <c r="R12" s="5"/>
      <c r="S12" s="5"/>
      <c r="T12" s="5"/>
      <c r="U12" s="5"/>
      <c r="V12" s="6"/>
    </row>
    <row r="13" spans="1:22" x14ac:dyDescent="0.25">
      <c r="B13" s="4"/>
      <c r="C13" s="5">
        <v>15592531</v>
      </c>
      <c r="D13" s="5">
        <v>822</v>
      </c>
      <c r="E13" s="5" t="s">
        <v>12</v>
      </c>
      <c r="F13" s="5" t="s">
        <v>15</v>
      </c>
      <c r="G13" s="5">
        <v>50</v>
      </c>
      <c r="H13" s="5">
        <v>7</v>
      </c>
      <c r="I13" s="5">
        <v>0</v>
      </c>
      <c r="J13" s="5">
        <v>2</v>
      </c>
      <c r="K13" s="5">
        <v>1</v>
      </c>
      <c r="L13" s="5">
        <v>1</v>
      </c>
      <c r="M13" s="5">
        <v>10062.799999999999</v>
      </c>
      <c r="N13" s="5">
        <v>0</v>
      </c>
      <c r="O13" s="5"/>
      <c r="P13" s="5"/>
      <c r="Q13" s="5" t="s">
        <v>20</v>
      </c>
      <c r="R13" s="5">
        <f>COUNTBLANK(B7:B29)</f>
        <v>23</v>
      </c>
      <c r="S13" s="5"/>
      <c r="T13" s="5" t="s">
        <v>25</v>
      </c>
      <c r="U13" s="5">
        <f>AVERAGE(Table1[estimated_salary])</f>
        <v>84669.688421052619</v>
      </c>
      <c r="V13" s="6"/>
    </row>
    <row r="14" spans="1:22" x14ac:dyDescent="0.25">
      <c r="B14" s="4"/>
      <c r="C14" s="5">
        <v>15656148</v>
      </c>
      <c r="D14" s="5">
        <v>376</v>
      </c>
      <c r="E14" s="5" t="s">
        <v>16</v>
      </c>
      <c r="F14" s="5" t="s">
        <v>13</v>
      </c>
      <c r="G14" s="5">
        <v>29</v>
      </c>
      <c r="H14" s="5">
        <v>4</v>
      </c>
      <c r="I14" s="5">
        <v>115046.74</v>
      </c>
      <c r="J14" s="5">
        <v>4</v>
      </c>
      <c r="K14" s="5">
        <v>1</v>
      </c>
      <c r="L14" s="5">
        <v>0</v>
      </c>
      <c r="M14" s="5">
        <v>119346.88</v>
      </c>
      <c r="N14" s="5">
        <v>1</v>
      </c>
      <c r="O14" s="5"/>
      <c r="P14" s="5"/>
      <c r="Q14" s="5"/>
      <c r="R14" s="5"/>
      <c r="S14" s="5"/>
      <c r="T14" s="5"/>
      <c r="U14" s="5"/>
      <c r="V14" s="6"/>
    </row>
    <row r="15" spans="1:22" x14ac:dyDescent="0.25">
      <c r="B15" s="4"/>
      <c r="C15" s="5">
        <v>15792365</v>
      </c>
      <c r="D15" s="5">
        <v>501</v>
      </c>
      <c r="E15" s="5" t="s">
        <v>12</v>
      </c>
      <c r="F15" s="5" t="s">
        <v>15</v>
      </c>
      <c r="G15" s="5">
        <v>44</v>
      </c>
      <c r="H15" s="5">
        <v>4</v>
      </c>
      <c r="I15" s="5">
        <v>142051.07</v>
      </c>
      <c r="J15" s="5">
        <v>2</v>
      </c>
      <c r="K15" s="5">
        <v>0</v>
      </c>
      <c r="L15" s="5">
        <v>1</v>
      </c>
      <c r="M15" s="5">
        <v>74940.5</v>
      </c>
      <c r="N15" s="5">
        <v>0</v>
      </c>
      <c r="O15" s="5"/>
      <c r="P15" s="5"/>
      <c r="Q15" s="5" t="s">
        <v>21</v>
      </c>
      <c r="R15" s="5">
        <f>COUNTIF(Table1[estimated_salary],"&gt;100000")</f>
        <v>7</v>
      </c>
      <c r="S15" s="5"/>
      <c r="T15" s="5" t="s">
        <v>26</v>
      </c>
      <c r="U15" s="5">
        <f>STDEV(Table1[estimated_salary])</f>
        <v>50321.665874188089</v>
      </c>
      <c r="V15" s="6"/>
    </row>
    <row r="16" spans="1:22" x14ac:dyDescent="0.25">
      <c r="B16" s="4"/>
      <c r="C16" s="5">
        <v>15592389</v>
      </c>
      <c r="D16" s="5">
        <v>684</v>
      </c>
      <c r="E16" s="5" t="s">
        <v>12</v>
      </c>
      <c r="F16" s="5" t="s">
        <v>15</v>
      </c>
      <c r="G16" s="5">
        <v>27</v>
      </c>
      <c r="H16" s="5">
        <v>2</v>
      </c>
      <c r="I16" s="5">
        <v>134603.88</v>
      </c>
      <c r="J16" s="5">
        <v>1</v>
      </c>
      <c r="K16" s="5">
        <v>1</v>
      </c>
      <c r="L16" s="5">
        <v>1</v>
      </c>
      <c r="M16" s="5">
        <v>71725.73</v>
      </c>
      <c r="N16" s="5">
        <v>0</v>
      </c>
      <c r="O16" s="5"/>
      <c r="P16" s="5"/>
      <c r="Q16" s="5"/>
      <c r="R16" s="5"/>
      <c r="S16" s="5"/>
      <c r="T16" s="5"/>
      <c r="U16" s="5"/>
      <c r="V16" s="6"/>
    </row>
    <row r="17" spans="1:22" x14ac:dyDescent="0.25">
      <c r="B17" s="4"/>
      <c r="C17" s="5">
        <v>15767821</v>
      </c>
      <c r="D17" s="5">
        <v>528</v>
      </c>
      <c r="E17" s="5" t="s">
        <v>12</v>
      </c>
      <c r="F17" s="5" t="s">
        <v>15</v>
      </c>
      <c r="G17" s="5">
        <v>31</v>
      </c>
      <c r="H17" s="5">
        <v>6</v>
      </c>
      <c r="I17" s="5">
        <v>102016.72</v>
      </c>
      <c r="J17" s="5">
        <v>2</v>
      </c>
      <c r="K17" s="5">
        <v>0</v>
      </c>
      <c r="L17" s="5">
        <v>0</v>
      </c>
      <c r="M17" s="5">
        <v>80181.119999999995</v>
      </c>
      <c r="N17" s="5">
        <v>0</v>
      </c>
      <c r="O17" s="5"/>
      <c r="P17" s="5"/>
      <c r="Q17" s="5" t="s">
        <v>22</v>
      </c>
      <c r="R17" s="5">
        <f>COUNTIFS(Table1[estimated_salary],"&gt;50000",Table1[balance],"&gt;20000")</f>
        <v>9</v>
      </c>
      <c r="S17" s="5"/>
      <c r="T17" s="5" t="s">
        <v>27</v>
      </c>
      <c r="U17" s="5">
        <f>_xlfn.STDEV.S(Table1[estimated_salary])</f>
        <v>50321.665874188089</v>
      </c>
      <c r="V17" s="6"/>
    </row>
    <row r="18" spans="1:22" x14ac:dyDescent="0.25">
      <c r="B18" s="4"/>
      <c r="C18" s="5">
        <v>15737173</v>
      </c>
      <c r="D18" s="5">
        <v>497</v>
      </c>
      <c r="E18" s="5" t="s">
        <v>14</v>
      </c>
      <c r="F18" s="5" t="s">
        <v>15</v>
      </c>
      <c r="G18" s="5">
        <v>24</v>
      </c>
      <c r="H18" s="5">
        <v>3</v>
      </c>
      <c r="I18" s="5">
        <v>0</v>
      </c>
      <c r="J18" s="5">
        <v>2</v>
      </c>
      <c r="K18" s="5">
        <v>1</v>
      </c>
      <c r="L18" s="5">
        <v>0</v>
      </c>
      <c r="M18" s="5">
        <v>76390.009999999995</v>
      </c>
      <c r="N18" s="5">
        <v>0</v>
      </c>
      <c r="O18" s="5"/>
      <c r="P18" s="5"/>
      <c r="Q18" s="5"/>
      <c r="R18" s="5"/>
      <c r="S18" s="5"/>
      <c r="T18" s="5"/>
      <c r="U18" s="5"/>
      <c r="V18" s="6"/>
    </row>
    <row r="19" spans="1:22" x14ac:dyDescent="0.25">
      <c r="B19" s="4"/>
      <c r="C19" s="5">
        <v>15632264</v>
      </c>
      <c r="D19" s="5">
        <v>476</v>
      </c>
      <c r="E19" s="5" t="s">
        <v>12</v>
      </c>
      <c r="F19" s="5" t="s">
        <v>13</v>
      </c>
      <c r="G19" s="5">
        <v>34</v>
      </c>
      <c r="H19" s="5">
        <v>10</v>
      </c>
      <c r="I19" s="5">
        <v>0</v>
      </c>
      <c r="J19" s="5">
        <v>2</v>
      </c>
      <c r="K19" s="5">
        <v>1</v>
      </c>
      <c r="L19" s="5">
        <v>0</v>
      </c>
      <c r="M19" s="5">
        <v>26260.98</v>
      </c>
      <c r="N19" s="5">
        <v>0</v>
      </c>
      <c r="O19" s="5"/>
      <c r="P19" s="5"/>
      <c r="Q19" s="5"/>
      <c r="R19" s="5"/>
      <c r="S19" s="5"/>
      <c r="T19" s="5" t="s">
        <v>32</v>
      </c>
      <c r="U19" s="5">
        <f>CORREL(Table1[balance],Table1[estimated_salary])</f>
        <v>1.0937859439022774E-2</v>
      </c>
      <c r="V19" s="6"/>
    </row>
    <row r="20" spans="1:22" x14ac:dyDescent="0.25">
      <c r="B20" s="4"/>
      <c r="C20" s="5">
        <v>15691483</v>
      </c>
      <c r="D20" s="5">
        <v>549</v>
      </c>
      <c r="E20" s="5" t="s">
        <v>12</v>
      </c>
      <c r="F20" s="5" t="s">
        <v>13</v>
      </c>
      <c r="G20" s="5">
        <v>25</v>
      </c>
      <c r="H20" s="5">
        <v>5</v>
      </c>
      <c r="I20" s="5">
        <v>0</v>
      </c>
      <c r="J20" s="5">
        <v>2</v>
      </c>
      <c r="K20" s="5">
        <v>0</v>
      </c>
      <c r="L20" s="5">
        <v>0</v>
      </c>
      <c r="M20" s="5">
        <v>190857.79</v>
      </c>
      <c r="N20" s="5">
        <v>0</v>
      </c>
      <c r="O20" s="5"/>
      <c r="P20" s="5"/>
      <c r="Q20" s="5"/>
      <c r="R20" s="5"/>
      <c r="S20" s="5"/>
      <c r="T20" s="5"/>
      <c r="U20" s="5"/>
      <c r="V20" s="6"/>
    </row>
    <row r="21" spans="1:22" x14ac:dyDescent="0.25">
      <c r="B21" s="4"/>
      <c r="C21" s="5">
        <v>15600882</v>
      </c>
      <c r="D21" s="5">
        <v>635</v>
      </c>
      <c r="E21" s="5" t="s">
        <v>14</v>
      </c>
      <c r="F21" s="5" t="s">
        <v>13</v>
      </c>
      <c r="G21" s="5">
        <v>35</v>
      </c>
      <c r="H21" s="5">
        <v>7</v>
      </c>
      <c r="I21" s="5">
        <v>0</v>
      </c>
      <c r="J21" s="5">
        <v>2</v>
      </c>
      <c r="K21" s="5">
        <v>1</v>
      </c>
      <c r="L21" s="5">
        <v>1</v>
      </c>
      <c r="M21" s="5">
        <v>65951.649999999994</v>
      </c>
      <c r="N21" s="5">
        <v>0</v>
      </c>
      <c r="O21" s="5"/>
      <c r="P21" s="5"/>
      <c r="Q21" s="5"/>
      <c r="R21" s="5"/>
      <c r="S21" s="5"/>
      <c r="T21" s="5" t="s">
        <v>28</v>
      </c>
      <c r="U21" s="5">
        <f>VAR(Table1[estimated_salary])</f>
        <v>2532270056.3534265</v>
      </c>
      <c r="V21" s="6"/>
    </row>
    <row r="22" spans="1:22" x14ac:dyDescent="0.25">
      <c r="B22" s="4"/>
      <c r="C22" s="5">
        <v>15643966</v>
      </c>
      <c r="D22" s="5">
        <v>616</v>
      </c>
      <c r="E22" s="5" t="s">
        <v>16</v>
      </c>
      <c r="F22" s="5" t="s">
        <v>15</v>
      </c>
      <c r="G22" s="5">
        <v>45</v>
      </c>
      <c r="H22" s="5">
        <v>3</v>
      </c>
      <c r="I22" s="5">
        <v>143129.41</v>
      </c>
      <c r="J22" s="5">
        <v>2</v>
      </c>
      <c r="K22" s="5">
        <v>0</v>
      </c>
      <c r="L22" s="5">
        <v>1</v>
      </c>
      <c r="M22" s="5">
        <v>64327.26</v>
      </c>
      <c r="N22" s="5">
        <v>0</v>
      </c>
      <c r="O22" s="5"/>
      <c r="P22" s="5"/>
      <c r="Q22" s="5"/>
      <c r="R22" s="5"/>
      <c r="S22" s="5"/>
      <c r="T22" s="5"/>
      <c r="U22" s="5"/>
      <c r="V22" s="6"/>
    </row>
    <row r="23" spans="1:22" x14ac:dyDescent="0.25">
      <c r="B23" s="4"/>
      <c r="C23" s="5">
        <v>15737452</v>
      </c>
      <c r="D23" s="5">
        <v>653</v>
      </c>
      <c r="E23" s="5" t="s">
        <v>16</v>
      </c>
      <c r="F23" s="5" t="s">
        <v>15</v>
      </c>
      <c r="G23" s="5">
        <v>58</v>
      </c>
      <c r="H23" s="5">
        <v>1</v>
      </c>
      <c r="I23" s="5">
        <v>132602.88</v>
      </c>
      <c r="J23" s="5">
        <v>1</v>
      </c>
      <c r="K23" s="5">
        <v>1</v>
      </c>
      <c r="L23" s="5">
        <v>0</v>
      </c>
      <c r="M23" s="5">
        <v>5097.67</v>
      </c>
      <c r="N23" s="5">
        <v>1</v>
      </c>
      <c r="O23" s="5"/>
      <c r="P23" s="5"/>
      <c r="Q23" s="5"/>
      <c r="R23" s="5"/>
      <c r="S23" s="5"/>
      <c r="T23" s="5" t="s">
        <v>29</v>
      </c>
      <c r="U23" s="5">
        <f>_xlfn.VAR.S(Table1[estimated_salary])</f>
        <v>2532270056.3534265</v>
      </c>
      <c r="V23" s="6"/>
    </row>
    <row r="24" spans="1:22" x14ac:dyDescent="0.25">
      <c r="B24" s="4"/>
      <c r="C24" s="5">
        <v>15788218</v>
      </c>
      <c r="D24" s="5">
        <v>549</v>
      </c>
      <c r="E24" s="5" t="s">
        <v>14</v>
      </c>
      <c r="F24" s="5" t="s">
        <v>13</v>
      </c>
      <c r="G24" s="5">
        <v>24</v>
      </c>
      <c r="H24" s="5">
        <v>9</v>
      </c>
      <c r="I24" s="5">
        <v>0</v>
      </c>
      <c r="J24" s="5">
        <v>2</v>
      </c>
      <c r="K24" s="5">
        <v>1</v>
      </c>
      <c r="L24" s="5">
        <v>1</v>
      </c>
      <c r="M24" s="5">
        <v>14406.41</v>
      </c>
      <c r="N24" s="5">
        <v>0</v>
      </c>
      <c r="O24" s="5"/>
      <c r="P24" s="5"/>
      <c r="Q24" s="5"/>
      <c r="R24" s="5"/>
      <c r="S24" s="5"/>
      <c r="T24" s="5"/>
      <c r="U24" s="5"/>
      <c r="V24" s="6"/>
    </row>
    <row r="25" spans="1:22" x14ac:dyDescent="0.25">
      <c r="B25" s="4"/>
      <c r="C25" s="5">
        <v>15661507</v>
      </c>
      <c r="D25" s="5">
        <v>587</v>
      </c>
      <c r="E25" s="5" t="s">
        <v>14</v>
      </c>
      <c r="F25" s="5" t="s">
        <v>15</v>
      </c>
      <c r="G25" s="5">
        <v>45</v>
      </c>
      <c r="H25" s="5">
        <v>6</v>
      </c>
      <c r="I25" s="5">
        <v>0</v>
      </c>
      <c r="J25" s="5">
        <v>1</v>
      </c>
      <c r="K25" s="5">
        <v>0</v>
      </c>
      <c r="L25" s="5">
        <v>0</v>
      </c>
      <c r="M25" s="5">
        <v>158684.81</v>
      </c>
      <c r="N25" s="5">
        <v>0</v>
      </c>
      <c r="O25" s="5"/>
      <c r="P25" s="5"/>
      <c r="Q25" s="5"/>
      <c r="R25" s="5"/>
      <c r="S25" s="5"/>
      <c r="T25" s="5"/>
      <c r="U25" s="5"/>
      <c r="V25" s="6"/>
    </row>
    <row r="26" spans="1:22" x14ac:dyDescent="0.25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6"/>
    </row>
    <row r="27" spans="1:22" x14ac:dyDescent="0.25">
      <c r="A27" s="5"/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6"/>
    </row>
    <row r="28" spans="1:22" x14ac:dyDescent="0.25">
      <c r="A28" s="5"/>
      <c r="B28" s="4"/>
      <c r="C28" s="5">
        <v>15661503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6"/>
    </row>
    <row r="29" spans="1:22" x14ac:dyDescent="0.25">
      <c r="A29" s="5"/>
      <c r="B29" s="4"/>
      <c r="C29" s="5">
        <v>197354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6"/>
    </row>
    <row r="30" spans="1:22" ht="15.75" thickBot="1" x14ac:dyDescent="0.3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Customer Churn 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2026-06-02T09:59:13Z</dcterms:created>
  <dcterms:modified xsi:type="dcterms:W3CDTF">2026-06-02T09:59:13Z</dcterms:modified>
</cp:coreProperties>
</file>