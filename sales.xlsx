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30277602-F4AB-4DC4-B692-77ABEFF0C676}" xr6:coauthVersionLast="47" xr6:coauthVersionMax="47" xr10:uidLastSave="{00000000-0000-0000-0000-000000000000}"/>
  <bookViews>
    <workbookView xWindow="-120" yWindow="-120" windowWidth="29040" windowHeight="15720" xr2:uid="{FD11B12A-26AD-432F-8D63-C68E17667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<sst xmlns="http://schemas.openxmlformats.org/spreadsheetml/2006/main" count="54" uniqueCount="52">
  <si>
    <t>sales</t>
  </si>
  <si>
    <t>price</t>
  </si>
  <si>
    <t>Pen</t>
  </si>
  <si>
    <t>Product</t>
  </si>
  <si>
    <t>book</t>
  </si>
  <si>
    <t>pencil</t>
  </si>
  <si>
    <t>eraser</t>
  </si>
  <si>
    <t>colours</t>
  </si>
  <si>
    <t>mean</t>
  </si>
  <si>
    <t>median</t>
  </si>
  <si>
    <t>mode</t>
  </si>
  <si>
    <t>range</t>
  </si>
  <si>
    <t>std</t>
  </si>
  <si>
    <t>correlation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</si>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</sst>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Pen</c:v>
                </c:pt>
                <c:pt idx="1">
                  <c:v>book</c:v>
                </c:pt>
                <c:pt idx="2">
                  <c:v>pencil</c:v>
                </c:pt>
                <c:pt idx="3">
                  <c:v>eraser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30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A-4DA1-A043-B1753F749B8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Pen</c:v>
                </c:pt>
                <c:pt idx="1">
                  <c:v>book</c:v>
                </c:pt>
                <c:pt idx="2">
                  <c:v>pencil</c:v>
                </c:pt>
                <c:pt idx="3">
                  <c:v>eraser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5000</c:v>
                </c:pt>
                <c:pt idx="1">
                  <c:v>3500</c:v>
                </c:pt>
                <c:pt idx="2">
                  <c:v>2000</c:v>
                </c:pt>
                <c:pt idx="3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DA-4DA1-A043-B1753F749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692038495188105E-2"/>
          <c:y val="0.19949088555711358"/>
          <c:w val="0.87753018372703417"/>
          <c:h val="0.614984324876057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Pen</c:v>
                </c:pt>
                <c:pt idx="1">
                  <c:v>book</c:v>
                </c:pt>
                <c:pt idx="2">
                  <c:v>pencil</c:v>
                </c:pt>
                <c:pt idx="3">
                  <c:v>eraser</c:v>
                </c:pt>
                <c:pt idx="4">
                  <c:v>colours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30</c:v>
                </c:pt>
                <c:pt idx="2">
                  <c:v>5</c:v>
                </c:pt>
                <c:pt idx="3">
                  <c:v>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1-4E53-A503-386E3B38552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Pen</c:v>
                </c:pt>
                <c:pt idx="1">
                  <c:v>book</c:v>
                </c:pt>
                <c:pt idx="2">
                  <c:v>pencil</c:v>
                </c:pt>
                <c:pt idx="3">
                  <c:v>eraser</c:v>
                </c:pt>
                <c:pt idx="4">
                  <c:v>colours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5000</c:v>
                </c:pt>
                <c:pt idx="1">
                  <c:v>3500</c:v>
                </c:pt>
                <c:pt idx="2">
                  <c:v>2000</c:v>
                </c:pt>
                <c:pt idx="3">
                  <c:v>4500</c:v>
                </c:pt>
                <c:pt idx="4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1-4E53-A503-386E3B385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3903712"/>
        <c:axId val="623902272"/>
      </c:barChart>
      <c:catAx>
        <c:axId val="6239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02272"/>
        <c:crosses val="autoZero"/>
        <c:auto val="1"/>
        <c:lblAlgn val="ctr"/>
        <c:lblOffset val="100"/>
        <c:noMultiLvlLbl val="0"/>
      </c:catAx>
      <c:valAx>
        <c:axId val="62390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0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523875</xdr:colOff>
      <xdr:row>0</xdr:row>
      <xdr:rowOff>152400</xdr:rowOff>
    </xdr:from>
    <xdr:to>
      <xdr:col>17</xdr:col>
      <xdr:colOff>533400</xdr:colOff>
      <xdr:row>13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CE4BEA-A9C4-B2E2-F5CF-FD05352AB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14</xdr:row>
      <xdr:rowOff>90487</xdr:rowOff>
    </xdr:from>
    <xdr:to>
      <xdr:col>22</xdr:col>
      <xdr:colOff>171450</xdr:colOff>
      <xdr:row>27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6B6FA7-0F3A-098E-4E9F-754608896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3E2EA-A828-4A53-BE0D-6B53726142E3}" name="Table1" displayName="Table1" ref="A1:C6" totalsRowShown="0">
  <autoFilter ref="A1:C6" xr:uid="{8F63E2EA-A828-4A53-BE0D-6B53726142E3}"/>
  <tableColumns count="3">
    <tableColumn id="1" xr3:uid="{B5679CC9-2903-4729-954B-F0269EAD5AD0}" name="Product"/>
    <tableColumn id="2" xr3:uid="{91DC6287-C980-481A-8178-B23BEC527C9D}" name="price"/>
    <tableColumn id="3" xr3:uid="{D34ACB77-4DFF-4FCD-8539-CBB52B39849D}" name="sal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D098-0543-4A53-851A-F81FAF4D3319}">
  <dimension ref="A1:P23"/>
  <sheetViews>
    <sheetView tabSelected="1" zoomScaleNormal="100" workbookViewId="0">
      <selection activeCell="M5" sqref="M5"/>
    </sheetView>
  </sheetViews>
  <sheetFormatPr defaultRowHeight="15" x14ac:dyDescent="0.25"/>
  <cols>
    <col min="1" max="1" width="10" customWidth="1"/>
    <col min="4" max="4" width="20.42578125" customWidth="1"/>
    <col min="5" max="5" width="9.7109375" customWidth="1"/>
    <col min="8" max="8" width="18.42578125" customWidth="1"/>
    <col min="9" max="9" width="15.28515625" customWidth="1"/>
    <col min="10" max="10" width="14" customWidth="1"/>
    <col min="11" max="11" width="14.28515625" customWidth="1"/>
    <col min="12" max="12" width="10.7109375" customWidth="1"/>
    <col min="13" max="13" width="12.28515625" customWidth="1"/>
    <col min="14" max="14" width="12.85546875" customWidth="1"/>
    <col min="15" max="15" width="16.7109375" customWidth="1"/>
    <col min="16" max="16" width="12.85546875" customWidth="1"/>
  </cols>
  <sheetData>
    <row r="1" spans="1:13" x14ac:dyDescent="0.25">
      <c r="A1" t="s">
        <v>3</v>
      </c>
      <c r="B1" t="s">
        <v>1</v>
      </c>
      <c r="C1" t="s">
        <v>0</v>
      </c>
    </row>
    <row r="2" spans="1:13" x14ac:dyDescent="0.25">
      <c r="A2" t="s">
        <v>2</v>
      </c>
      <c r="B2">
        <v>10</v>
      </c>
      <c r="C2">
        <v>5000</v>
      </c>
    </row>
    <row r="3" spans="1:13" x14ac:dyDescent="0.25">
      <c r="A3" t="s">
        <v>4</v>
      </c>
      <c r="B3">
        <v>30</v>
      </c>
      <c r="C3">
        <v>3500</v>
      </c>
    </row>
    <row r="4" spans="1:13" x14ac:dyDescent="0.25">
      <c r="A4" t="s">
        <v>5</v>
      </c>
      <c r="B4">
        <v>5</v>
      </c>
      <c r="C4">
        <v>2000</v>
      </c>
      <c r="H4" t="s">
        <v>28</v>
      </c>
    </row>
    <row r="5" spans="1:13" ht="15.75" thickBot="1" x14ac:dyDescent="0.3">
      <c r="A5" t="s">
        <v>6</v>
      </c>
      <c r="B5">
        <v>5</v>
      </c>
      <c r="C5">
        <v>4500</v>
      </c>
    </row>
    <row r="6" spans="1:13" x14ac:dyDescent="0.25">
      <c r="A6" t="s">
        <v>7</v>
      </c>
      <c r="B6">
        <v>25</v>
      </c>
      <c r="C6">
        <v>2500</v>
      </c>
      <c r="H6" s="4" t="s">
        <v>29</v>
      </c>
      <c r="I6" s="4"/>
    </row>
    <row r="7" spans="1:13" x14ac:dyDescent="0.25">
      <c r="H7" s="1" t="s">
        <v>30</v>
      </c>
      <c r="I7" s="1">
        <v>0.20906050250177274</v>
      </c>
    </row>
    <row r="8" spans="1:13" ht="15.75" thickBot="1" x14ac:dyDescent="0.3">
      <c r="A8" t="s">
        <v>8</v>
      </c>
      <c r="B8">
        <f>AVERAGE(Table1[price])</f>
        <v>15</v>
      </c>
      <c r="H8" s="1" t="s">
        <v>31</v>
      </c>
      <c r="I8" s="1">
        <v>4.3706293706293725E-2</v>
      </c>
    </row>
    <row r="9" spans="1:13" x14ac:dyDescent="0.25">
      <c r="A9" t="s">
        <v>9</v>
      </c>
      <c r="B9">
        <f>MEDIAN(Table1[price])</f>
        <v>10</v>
      </c>
      <c r="D9" s="4" t="s">
        <v>14</v>
      </c>
      <c r="E9" s="4"/>
      <c r="H9" s="1" t="s">
        <v>32</v>
      </c>
      <c r="I9" s="1">
        <v>-0.27505827505827501</v>
      </c>
    </row>
    <row r="10" spans="1:13" x14ac:dyDescent="0.25">
      <c r="A10" t="s">
        <v>10</v>
      </c>
      <c r="B10">
        <f>MODE(Table1[price])</f>
        <v>5</v>
      </c>
      <c r="D10" s="1"/>
      <c r="E10" s="1"/>
      <c r="H10" s="1" t="s">
        <v>16</v>
      </c>
      <c r="I10" s="1">
        <v>13.240865259510528</v>
      </c>
    </row>
    <row r="11" spans="1:13" ht="15.75" thickBot="1" x14ac:dyDescent="0.3">
      <c r="A11" t="s">
        <v>11</v>
      </c>
      <c r="B11">
        <f>MAX(Table1[price])-MIN(Table1[price])</f>
        <v>25</v>
      </c>
      <c r="D11" s="1" t="s">
        <v>15</v>
      </c>
      <c r="E11" s="1">
        <v>15</v>
      </c>
      <c r="H11" s="2" t="s">
        <v>33</v>
      </c>
      <c r="I11" s="2">
        <v>5</v>
      </c>
    </row>
    <row r="12" spans="1:13" x14ac:dyDescent="0.25">
      <c r="A12" t="s">
        <v>13</v>
      </c>
      <c r="B12">
        <f>CORREL(Table1[price],Table1[price])</f>
        <v>1</v>
      </c>
      <c r="D12" s="1" t="s">
        <v>16</v>
      </c>
      <c r="E12" s="1">
        <v>5.2440442408507577</v>
      </c>
    </row>
    <row r="13" spans="1:13" ht="15.75" thickBot="1" x14ac:dyDescent="0.3">
      <c r="A13" t="s">
        <v>12</v>
      </c>
      <c r="B13">
        <f>STDEVA(Table1[price])</f>
        <v>11.726039399558575</v>
      </c>
      <c r="D13" s="1" t="s">
        <v>17</v>
      </c>
      <c r="E13" s="1">
        <v>10</v>
      </c>
      <c r="H13" t="s">
        <v>34</v>
      </c>
    </row>
    <row r="14" spans="1:13" x14ac:dyDescent="0.25">
      <c r="D14" s="1" t="s">
        <v>18</v>
      </c>
      <c r="E14" s="1">
        <v>5</v>
      </c>
      <c r="H14" s="3"/>
      <c r="I14" s="3" t="s">
        <v>39</v>
      </c>
      <c r="J14" s="3" t="s">
        <v>40</v>
      </c>
      <c r="K14" s="3" t="s">
        <v>41</v>
      </c>
      <c r="L14" s="3" t="s">
        <v>42</v>
      </c>
      <c r="M14" s="3" t="s">
        <v>43</v>
      </c>
    </row>
    <row r="15" spans="1:13" x14ac:dyDescent="0.25">
      <c r="D15" s="1" t="s">
        <v>19</v>
      </c>
      <c r="E15" s="1">
        <v>11.726039399558575</v>
      </c>
      <c r="H15" s="1" t="s">
        <v>35</v>
      </c>
      <c r="I15" s="1">
        <v>1</v>
      </c>
      <c r="J15" s="1">
        <v>24.038461538461547</v>
      </c>
      <c r="K15" s="1">
        <v>24.038461538461547</v>
      </c>
      <c r="L15" s="1">
        <v>0.13711151736745891</v>
      </c>
      <c r="M15" s="1">
        <v>0.73576780234557626</v>
      </c>
    </row>
    <row r="16" spans="1:13" x14ac:dyDescent="0.25">
      <c r="D16" s="1" t="s">
        <v>20</v>
      </c>
      <c r="E16" s="1">
        <v>137.5</v>
      </c>
      <c r="H16" s="1" t="s">
        <v>36</v>
      </c>
      <c r="I16" s="1">
        <v>3</v>
      </c>
      <c r="J16" s="1">
        <v>525.96153846153845</v>
      </c>
      <c r="K16" s="1">
        <v>175.32051282051282</v>
      </c>
      <c r="L16" s="1"/>
      <c r="M16" s="1"/>
    </row>
    <row r="17" spans="4:16" ht="15.75" thickBot="1" x14ac:dyDescent="0.3">
      <c r="D17" s="1" t="s">
        <v>21</v>
      </c>
      <c r="E17" s="1">
        <v>-2.6280991735537205</v>
      </c>
      <c r="H17" s="2" t="s">
        <v>37</v>
      </c>
      <c r="I17" s="2">
        <v>4</v>
      </c>
      <c r="J17" s="2">
        <v>550</v>
      </c>
      <c r="K17" s="2"/>
      <c r="L17" s="2"/>
      <c r="M17" s="2"/>
    </row>
    <row r="18" spans="4:16" ht="15.75" thickBot="1" x14ac:dyDescent="0.3">
      <c r="D18" s="1" t="s">
        <v>22</v>
      </c>
      <c r="E18" s="1">
        <v>0.58145649915166453</v>
      </c>
    </row>
    <row r="19" spans="4:16" x14ac:dyDescent="0.25">
      <c r="D19" s="1" t="s">
        <v>23</v>
      </c>
      <c r="E19" s="1">
        <v>25</v>
      </c>
      <c r="H19" s="3"/>
      <c r="I19" s="3" t="s">
        <v>44</v>
      </c>
      <c r="J19" s="3" t="s">
        <v>16</v>
      </c>
      <c r="K19" s="3" t="s">
        <v>45</v>
      </c>
      <c r="L19" s="3" t="s">
        <v>46</v>
      </c>
      <c r="M19" s="3" t="s">
        <v>47</v>
      </c>
      <c r="N19" s="3" t="s">
        <v>48</v>
      </c>
      <c r="O19" s="3" t="s">
        <v>49</v>
      </c>
      <c r="P19" s="3" t="s">
        <v>50</v>
      </c>
    </row>
    <row r="20" spans="4:16" x14ac:dyDescent="0.25">
      <c r="D20" s="1" t="s">
        <v>24</v>
      </c>
      <c r="E20" s="1">
        <v>5</v>
      </c>
      <c r="H20" s="1" t="s">
        <v>38</v>
      </c>
      <c r="I20" s="1">
        <v>21.730769230769234</v>
      </c>
      <c r="J20" s="1">
        <v>19.117422375003898</v>
      </c>
      <c r="K20" s="1">
        <v>1.1366997498147187</v>
      </c>
      <c r="L20" s="1">
        <v>0.33824470625435504</v>
      </c>
      <c r="M20" s="1">
        <v>-39.109400973110034</v>
      </c>
      <c r="N20" s="1">
        <v>82.570939434648494</v>
      </c>
      <c r="O20" s="1">
        <v>-39.109400973110034</v>
      </c>
      <c r="P20" s="1">
        <v>82.570939434648494</v>
      </c>
    </row>
    <row r="21" spans="4:16" ht="15.75" thickBot="1" x14ac:dyDescent="0.3">
      <c r="D21" s="1" t="s">
        <v>25</v>
      </c>
      <c r="E21" s="1">
        <v>30</v>
      </c>
      <c r="H21" s="2" t="s">
        <v>51</v>
      </c>
      <c r="I21" s="2">
        <v>-1.9230769230769238E-3</v>
      </c>
      <c r="J21" s="2">
        <v>5.1934946411613054E-3</v>
      </c>
      <c r="K21" s="2">
        <v>-0.37028572395848453</v>
      </c>
      <c r="L21" s="2">
        <v>0.73576780234557615</v>
      </c>
      <c r="M21" s="2">
        <v>-1.8451094755351463E-2</v>
      </c>
      <c r="N21" s="2">
        <v>1.4604940909197617E-2</v>
      </c>
      <c r="O21" s="2">
        <v>-1.8451094755351463E-2</v>
      </c>
      <c r="P21" s="2">
        <v>1.4604940909197617E-2</v>
      </c>
    </row>
    <row r="22" spans="4:16" x14ac:dyDescent="0.25">
      <c r="D22" s="1" t="s">
        <v>26</v>
      </c>
      <c r="E22" s="1">
        <v>75</v>
      </c>
    </row>
    <row r="23" spans="4:16" ht="15.75" thickBot="1" x14ac:dyDescent="0.3">
      <c r="D23" s="2" t="s">
        <v>27</v>
      </c>
      <c r="E23" s="2">
        <v>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2026-05-26T08:29:42Z</dcterms:created>
  <dcterms:modified xsi:type="dcterms:W3CDTF">2026-05-26T09:56:34Z</dcterms:modified>
</cp:coreProperties>
</file>