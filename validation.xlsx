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13_ncr:1_{6C42C30E-38A0-4AD4-BA06-D45217D0ECEE}" xr6:coauthVersionLast="47" xr6:coauthVersionMax="47" xr10:uidLastSave="{00000000-0000-0000-0000-000000000000}"/>
  <bookViews>
    <workbookView xWindow="-120" yWindow="-120" windowWidth="29040" windowHeight="15720" xr2:uid="{951F664E-58FF-4A80-B771-7F194BD1EC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4" i="1" l="1"/>
  <c r="M13" i="1"/>
  <c r="M4" i="1"/>
  <c r="M15" i="1"/>
  <c r="M9" i="1"/>
  <c r="M11" i="1"/>
  <c r="M16" i="1"/>
  <c r="M10" i="1"/>
  <c r="M6" i="1"/>
  <c r="M7" i="1"/>
  <c r="M12" i="1"/>
  <c r="M17" i="1"/>
  <c r="M18" i="1"/>
  <c r="M19" i="1"/>
  <c r="M20" i="1"/>
  <c r="M5" i="1"/>
  <c r="M8" i="1"/>
  <c r="M21" i="1"/>
  <c r="M22" i="1"/>
</calcChain>
</file>

<file path=xl/sharedStrings.xml><?xml version="1.0" encoding="utf-8"?>
<sst xmlns="http://schemas.openxmlformats.org/spreadsheetml/2006/main" count="58" uniqueCount="25">
  <si>
    <t>customer_id</t>
  </si>
  <si>
    <t>credit_score</t>
  </si>
  <si>
    <t>country</t>
  </si>
  <si>
    <t>gender</t>
  </si>
  <si>
    <t>age</t>
  </si>
  <si>
    <t>tenure</t>
  </si>
  <si>
    <t>balance</t>
  </si>
  <si>
    <t>products_number</t>
  </si>
  <si>
    <t>credit_card</t>
  </si>
  <si>
    <t>active_member</t>
  </si>
  <si>
    <t>estimated_salary</t>
  </si>
  <si>
    <t>churn</t>
  </si>
  <si>
    <t>France</t>
  </si>
  <si>
    <t>Female</t>
  </si>
  <si>
    <t>Spain</t>
  </si>
  <si>
    <t>Male</t>
  </si>
  <si>
    <t>Germany</t>
  </si>
  <si>
    <t>Column1</t>
  </si>
  <si>
    <t>Name</t>
  </si>
  <si>
    <t>Rekha</t>
  </si>
  <si>
    <t>Seethi</t>
  </si>
  <si>
    <t>Surname</t>
  </si>
  <si>
    <t>Mits,Angallu,Madanapalli,AndhraPradesh</t>
  </si>
  <si>
    <t>wrap Text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</si>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</sst>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9" fillId="0" borderId="0" xfId="0" applyFont="1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right" wrapText="1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alignment horizontal="right" vertical="bottom" textRotation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AB18A2-3564-4EE1-9C35-E266C8FA68CB}" name="Table1" displayName="Table1" ref="A3:O22" totalsRowShown="0">
  <sortState xmlns:xlrd2="http://schemas.microsoft.com/office/spreadsheetml/2017/richdata2" ref="A4:O22">
    <sortCondition descending="1" ref="G4:G22"/>
  </sortState>
  <tableColumns count="15">
    <tableColumn id="1" xr3:uid="{44C0FC6D-9012-492B-9E2D-A852E2F41EA4}" name="customer_id"/>
    <tableColumn id="2" xr3:uid="{809C3E7C-7390-478C-80EA-E9A64AB32D15}" name="credit_score"/>
    <tableColumn id="3" xr3:uid="{EBEF8D91-0A72-4174-A98A-219A1119B477}" name="country"/>
    <tableColumn id="4" xr3:uid="{7329DBD4-EB41-4C31-9D5E-6670B3D27C99}" name="gender"/>
    <tableColumn id="5" xr3:uid="{31F33B17-5357-4CD5-B994-6048D259A75A}" name="age"/>
    <tableColumn id="6" xr3:uid="{2B3F703B-314E-4FC2-B7A5-52D81A2599C8}" name="tenure"/>
    <tableColumn id="7" xr3:uid="{29499D91-34A1-486D-B0A1-AF5FEE5A634E}" name="balance"/>
    <tableColumn id="8" xr3:uid="{F329190B-CE87-4415-B75B-A1A9E3B65388}" name="products_number" dataDxfId="0"/>
    <tableColumn id="9" xr3:uid="{0346B33D-08C6-49D6-A663-AB5C5E6C92E8}" name="credit_card"/>
    <tableColumn id="10" xr3:uid="{64375586-DB78-4420-BD72-7DA4A69BBCF5}" name="active_member"/>
    <tableColumn id="11" xr3:uid="{FF0B9ADA-5C17-4F49-85E8-AFBB9D911733}" name="estimated_salary"/>
    <tableColumn id="12" xr3:uid="{2D8713D3-2063-4D17-B389-D43A12B652E8}" name="churn"/>
    <tableColumn id="13" xr3:uid="{517DA755-BF94-4E13-BA60-4AFCB777D92D}" name="Column1" dataDxfId="1">
      <calculatedColumnFormula>Table1[[#This Row],[estimated_salary]]/Table1[[#This Row],[balance]]</calculatedColumnFormula>
    </tableColumn>
    <tableColumn id="14" xr3:uid="{1746144B-F8F2-46F0-81E2-082D6EE909F0}" name="Name"/>
    <tableColumn id="15" xr3:uid="{15EAA8BD-2EEA-4C1C-91D5-0A94942E63F5}" name="Sur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D10D2-B569-443B-BA1A-17C14D3DC6AA}">
  <dimension ref="A1:V29"/>
  <sheetViews>
    <sheetView tabSelected="1" workbookViewId="0">
      <selection activeCell="R20" sqref="R20"/>
    </sheetView>
  </sheetViews>
  <sheetFormatPr defaultRowHeight="15" x14ac:dyDescent="0.25"/>
  <cols>
    <col min="1" max="1" width="14.140625" customWidth="1"/>
    <col min="2" max="2" width="14" customWidth="1"/>
    <col min="3" max="3" width="9.85546875" customWidth="1"/>
    <col min="4" max="4" width="9.42578125" customWidth="1"/>
    <col min="7" max="7" width="10" customWidth="1"/>
    <col min="8" max="8" width="18.85546875" style="3" customWidth="1"/>
    <col min="9" max="9" width="13" customWidth="1"/>
    <col min="10" max="10" width="17" customWidth="1"/>
    <col min="11" max="11" width="18.28515625" customWidth="1"/>
    <col min="13" max="13" width="10.42578125" customWidth="1"/>
    <col min="15" max="15" width="11.140625" customWidth="1"/>
    <col min="18" max="18" width="13.140625" customWidth="1"/>
  </cols>
  <sheetData>
    <row r="1" spans="1:22" x14ac:dyDescent="0.25">
      <c r="I1" s="5"/>
    </row>
    <row r="3" spans="1:22" ht="18.75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7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t="s">
        <v>17</v>
      </c>
      <c r="N3" t="s">
        <v>18</v>
      </c>
      <c r="O3" t="s">
        <v>21</v>
      </c>
      <c r="R3" s="4" t="s">
        <v>23</v>
      </c>
    </row>
    <row r="4" spans="1:22" ht="60" x14ac:dyDescent="0.25">
      <c r="A4" s="8">
        <v>15619304</v>
      </c>
      <c r="B4" s="8">
        <v>502</v>
      </c>
      <c r="C4" s="8" t="s">
        <v>12</v>
      </c>
      <c r="D4" s="8" t="s">
        <v>13</v>
      </c>
      <c r="E4" s="8">
        <v>42</v>
      </c>
      <c r="F4" s="8">
        <v>8</v>
      </c>
      <c r="G4" s="8">
        <v>159660.79999999999</v>
      </c>
      <c r="H4" s="7">
        <v>3</v>
      </c>
      <c r="I4" s="8">
        <v>1</v>
      </c>
      <c r="J4" s="8">
        <v>0</v>
      </c>
      <c r="K4" s="8">
        <v>113931.57</v>
      </c>
      <c r="L4" s="8">
        <v>1</v>
      </c>
      <c r="M4">
        <f>Table1[[#This Row],[estimated_salary]]/Table1[[#This Row],[balance]]</f>
        <v>0.71358511293943172</v>
      </c>
      <c r="R4" s="1" t="s">
        <v>22</v>
      </c>
      <c r="S4" s="1"/>
      <c r="T4" s="1"/>
      <c r="U4" s="1"/>
      <c r="V4" s="1"/>
    </row>
    <row r="5" spans="1:22" x14ac:dyDescent="0.25">
      <c r="A5" s="8">
        <v>15643966</v>
      </c>
      <c r="B5" s="8">
        <v>616</v>
      </c>
      <c r="C5" s="8" t="s">
        <v>16</v>
      </c>
      <c r="D5" s="8" t="s">
        <v>15</v>
      </c>
      <c r="E5" s="8">
        <v>45</v>
      </c>
      <c r="F5" s="8">
        <v>3</v>
      </c>
      <c r="G5" s="8">
        <v>143129.41</v>
      </c>
      <c r="H5" s="3">
        <v>2</v>
      </c>
      <c r="I5" s="8">
        <v>0</v>
      </c>
      <c r="J5" s="8">
        <v>1</v>
      </c>
      <c r="K5" s="8">
        <v>64327.26</v>
      </c>
      <c r="L5" s="8">
        <v>0</v>
      </c>
      <c r="M5">
        <f>Table1[[#This Row],[estimated_salary]]/Table1[[#This Row],[balance]]</f>
        <v>0.44943425673312004</v>
      </c>
    </row>
    <row r="6" spans="1:22" x14ac:dyDescent="0.25">
      <c r="A6" s="8">
        <v>15792365</v>
      </c>
      <c r="B6" s="8">
        <v>501</v>
      </c>
      <c r="C6" s="8" t="s">
        <v>12</v>
      </c>
      <c r="D6" s="8" t="s">
        <v>15</v>
      </c>
      <c r="E6" s="8">
        <v>44</v>
      </c>
      <c r="F6" s="8">
        <v>4</v>
      </c>
      <c r="G6" s="8">
        <v>142051.07</v>
      </c>
      <c r="H6" s="3">
        <v>2</v>
      </c>
      <c r="I6" s="8">
        <v>0</v>
      </c>
      <c r="J6" s="8">
        <v>1</v>
      </c>
      <c r="K6" s="8">
        <v>74940.5</v>
      </c>
      <c r="L6" s="8">
        <v>0</v>
      </c>
      <c r="M6">
        <f>Table1[[#This Row],[estimated_salary]]/Table1[[#This Row],[balance]]</f>
        <v>0.52756026406559275</v>
      </c>
    </row>
    <row r="7" spans="1:22" x14ac:dyDescent="0.25">
      <c r="A7" s="8">
        <v>15592389</v>
      </c>
      <c r="B7" s="8">
        <v>684</v>
      </c>
      <c r="C7" s="8" t="s">
        <v>12</v>
      </c>
      <c r="D7" s="8" t="s">
        <v>15</v>
      </c>
      <c r="E7" s="8">
        <v>27</v>
      </c>
      <c r="F7" s="8">
        <v>2</v>
      </c>
      <c r="G7" s="8">
        <v>134603.88</v>
      </c>
      <c r="H7" s="3">
        <v>1</v>
      </c>
      <c r="I7" s="8">
        <v>1</v>
      </c>
      <c r="J7" s="8">
        <v>1</v>
      </c>
      <c r="K7" s="8">
        <v>71725.73</v>
      </c>
      <c r="L7" s="8">
        <v>0</v>
      </c>
      <c r="M7">
        <f>Table1[[#This Row],[estimated_salary]]/Table1[[#This Row],[balance]]</f>
        <v>0.53286524875805952</v>
      </c>
    </row>
    <row r="8" spans="1:22" x14ac:dyDescent="0.25">
      <c r="A8" s="8">
        <v>15737452</v>
      </c>
      <c r="B8" s="8">
        <v>653</v>
      </c>
      <c r="C8" s="8" t="s">
        <v>16</v>
      </c>
      <c r="D8" s="8" t="s">
        <v>15</v>
      </c>
      <c r="E8" s="8">
        <v>58</v>
      </c>
      <c r="F8" s="8">
        <v>1</v>
      </c>
      <c r="G8" s="8">
        <v>132602.88</v>
      </c>
      <c r="H8" s="3">
        <v>1</v>
      </c>
      <c r="I8" s="8">
        <v>1</v>
      </c>
      <c r="J8" s="8">
        <v>0</v>
      </c>
      <c r="K8" s="8">
        <v>5097.67</v>
      </c>
      <c r="L8" s="8">
        <v>1</v>
      </c>
      <c r="M8">
        <f>Table1[[#This Row],[estimated_salary]]/Table1[[#This Row],[balance]]</f>
        <v>3.8443131853546468E-2</v>
      </c>
    </row>
    <row r="9" spans="1:22" x14ac:dyDescent="0.25">
      <c r="A9" s="8">
        <v>15737888</v>
      </c>
      <c r="B9" s="8">
        <v>850</v>
      </c>
      <c r="C9" s="8" t="s">
        <v>14</v>
      </c>
      <c r="D9" s="8" t="s">
        <v>13</v>
      </c>
      <c r="E9" s="8">
        <v>43</v>
      </c>
      <c r="F9" s="8">
        <v>2</v>
      </c>
      <c r="G9" s="8">
        <v>125510.82</v>
      </c>
      <c r="H9" s="3">
        <v>1</v>
      </c>
      <c r="I9" s="8">
        <v>1</v>
      </c>
      <c r="J9" s="8">
        <v>1</v>
      </c>
      <c r="K9" s="8">
        <v>79084.100000000006</v>
      </c>
      <c r="L9" s="8">
        <v>0</v>
      </c>
      <c r="M9">
        <f>Table1[[#This Row],[estimated_salary]]/Table1[[#This Row],[balance]]</f>
        <v>0.63009786725957173</v>
      </c>
    </row>
    <row r="10" spans="1:22" x14ac:dyDescent="0.25">
      <c r="A10" s="8">
        <v>15656148</v>
      </c>
      <c r="B10" s="8">
        <v>376</v>
      </c>
      <c r="C10" s="8" t="s">
        <v>16</v>
      </c>
      <c r="D10" s="8" t="s">
        <v>13</v>
      </c>
      <c r="E10" s="8">
        <v>29</v>
      </c>
      <c r="F10" s="8">
        <v>4</v>
      </c>
      <c r="G10" s="8">
        <v>115046.74</v>
      </c>
      <c r="H10" s="3">
        <v>4</v>
      </c>
      <c r="I10" s="8">
        <v>1</v>
      </c>
      <c r="J10" s="8">
        <v>0</v>
      </c>
      <c r="K10" s="8">
        <v>119346.88</v>
      </c>
      <c r="L10" s="8">
        <v>1</v>
      </c>
      <c r="M10">
        <f>Table1[[#This Row],[estimated_salary]]/Table1[[#This Row],[balance]]</f>
        <v>1.0373773302920186</v>
      </c>
    </row>
    <row r="11" spans="1:22" x14ac:dyDescent="0.25">
      <c r="A11" s="8">
        <v>15574012</v>
      </c>
      <c r="B11" s="8">
        <v>645</v>
      </c>
      <c r="C11" s="8" t="s">
        <v>14</v>
      </c>
      <c r="D11" s="8" t="s">
        <v>15</v>
      </c>
      <c r="E11" s="8">
        <v>44</v>
      </c>
      <c r="F11" s="8">
        <v>8</v>
      </c>
      <c r="G11" s="8">
        <v>113755.78</v>
      </c>
      <c r="H11" s="3">
        <v>2</v>
      </c>
      <c r="I11" s="8">
        <v>1</v>
      </c>
      <c r="J11" s="8">
        <v>0</v>
      </c>
      <c r="K11" s="8">
        <v>149756.71</v>
      </c>
      <c r="L11" s="8">
        <v>1</v>
      </c>
      <c r="M11">
        <f>Table1[[#This Row],[estimated_salary]]/Table1[[#This Row],[balance]]</f>
        <v>1.3164756111733398</v>
      </c>
    </row>
    <row r="12" spans="1:22" ht="18.75" x14ac:dyDescent="0.3">
      <c r="A12" s="8">
        <v>15767821</v>
      </c>
      <c r="B12" s="8">
        <v>528</v>
      </c>
      <c r="C12" s="8" t="s">
        <v>12</v>
      </c>
      <c r="D12" s="8" t="s">
        <v>15</v>
      </c>
      <c r="E12" s="8">
        <v>31</v>
      </c>
      <c r="F12" s="8">
        <v>6</v>
      </c>
      <c r="G12" s="8">
        <v>102016.72</v>
      </c>
      <c r="H12" s="3">
        <v>2</v>
      </c>
      <c r="I12" s="8">
        <v>0</v>
      </c>
      <c r="J12" s="8">
        <v>0</v>
      </c>
      <c r="K12" s="8">
        <v>80181.119999999995</v>
      </c>
      <c r="L12" s="8">
        <v>0</v>
      </c>
      <c r="M12">
        <f>Table1[[#This Row],[estimated_salary]]/Table1[[#This Row],[balance]]</f>
        <v>0.78596057587422918</v>
      </c>
      <c r="R12" s="4" t="s">
        <v>24</v>
      </c>
    </row>
    <row r="13" spans="1:22" x14ac:dyDescent="0.25">
      <c r="A13" s="8">
        <v>15647311</v>
      </c>
      <c r="B13" s="8">
        <v>608</v>
      </c>
      <c r="C13" s="8" t="s">
        <v>14</v>
      </c>
      <c r="D13" s="8" t="s">
        <v>13</v>
      </c>
      <c r="E13" s="8">
        <v>41</v>
      </c>
      <c r="F13" s="8">
        <v>1</v>
      </c>
      <c r="G13" s="8">
        <v>83807.86</v>
      </c>
      <c r="H13" s="3">
        <v>1</v>
      </c>
      <c r="I13" s="8">
        <v>0</v>
      </c>
      <c r="J13" s="8">
        <v>1</v>
      </c>
      <c r="K13" s="8">
        <v>112542.58</v>
      </c>
      <c r="L13" s="8">
        <v>0</v>
      </c>
      <c r="M13">
        <f>Table1[[#This Row],[estimated_salary]]/Table1[[#This Row],[balance]]</f>
        <v>1.3428642611802759</v>
      </c>
      <c r="R13" s="2">
        <v>1</v>
      </c>
    </row>
    <row r="14" spans="1:22" x14ac:dyDescent="0.25">
      <c r="A14" s="8">
        <v>15634602</v>
      </c>
      <c r="B14" s="8">
        <v>619</v>
      </c>
      <c r="C14" s="8" t="s">
        <v>12</v>
      </c>
      <c r="D14" s="8" t="s">
        <v>13</v>
      </c>
      <c r="E14" s="8">
        <v>42</v>
      </c>
      <c r="F14" s="8">
        <v>2</v>
      </c>
      <c r="G14" s="1">
        <v>0</v>
      </c>
      <c r="H14" s="3">
        <v>1</v>
      </c>
      <c r="I14" s="8">
        <v>1</v>
      </c>
      <c r="J14" s="8">
        <v>1</v>
      </c>
      <c r="K14" s="8">
        <v>101348.88</v>
      </c>
      <c r="L14" s="8">
        <v>1</v>
      </c>
      <c r="M14" t="e">
        <f>Table1[[#This Row],[estimated_salary]]/Table1[[#This Row],[balance]]</f>
        <v>#DIV/0!</v>
      </c>
      <c r="N14" t="s">
        <v>19</v>
      </c>
      <c r="O14" t="s">
        <v>20</v>
      </c>
      <c r="R14" s="2"/>
    </row>
    <row r="15" spans="1:22" x14ac:dyDescent="0.25">
      <c r="A15" s="8">
        <v>15701354</v>
      </c>
      <c r="B15" s="8">
        <v>699</v>
      </c>
      <c r="C15" s="8" t="s">
        <v>12</v>
      </c>
      <c r="D15" s="8" t="s">
        <v>13</v>
      </c>
      <c r="E15" s="8">
        <v>39</v>
      </c>
      <c r="F15" s="8">
        <v>1</v>
      </c>
      <c r="G15" s="8">
        <v>0</v>
      </c>
      <c r="H15" s="3">
        <v>2</v>
      </c>
      <c r="I15" s="8">
        <v>0</v>
      </c>
      <c r="J15" s="8">
        <v>0</v>
      </c>
      <c r="K15" s="8">
        <v>93826.63</v>
      </c>
      <c r="L15" s="8">
        <v>0</v>
      </c>
      <c r="M15" t="e">
        <f>Table1[[#This Row],[estimated_salary]]/Table1[[#This Row],[balance]]</f>
        <v>#DIV/0!</v>
      </c>
      <c r="R15">
        <v>3</v>
      </c>
    </row>
    <row r="16" spans="1:22" x14ac:dyDescent="0.25">
      <c r="A16" s="8">
        <v>15592531</v>
      </c>
      <c r="B16" s="8">
        <v>822</v>
      </c>
      <c r="C16" s="8" t="s">
        <v>12</v>
      </c>
      <c r="D16" s="8" t="s">
        <v>15</v>
      </c>
      <c r="E16" s="8">
        <v>50</v>
      </c>
      <c r="F16" s="8">
        <v>7</v>
      </c>
      <c r="G16" s="8">
        <v>0</v>
      </c>
      <c r="H16" s="3">
        <v>2</v>
      </c>
      <c r="I16" s="8">
        <v>1</v>
      </c>
      <c r="J16" s="8">
        <v>1</v>
      </c>
      <c r="K16" s="8">
        <v>10062.799999999999</v>
      </c>
      <c r="L16" s="8">
        <v>0</v>
      </c>
      <c r="M16" t="e">
        <f>Table1[[#This Row],[estimated_salary]]/Table1[[#This Row],[balance]]</f>
        <v>#DIV/0!</v>
      </c>
      <c r="R16">
        <v>4</v>
      </c>
    </row>
    <row r="17" spans="1:18" x14ac:dyDescent="0.25">
      <c r="A17" s="8">
        <v>15737173</v>
      </c>
      <c r="B17" s="8">
        <v>497</v>
      </c>
      <c r="C17" s="8" t="s">
        <v>14</v>
      </c>
      <c r="D17" s="8" t="s">
        <v>15</v>
      </c>
      <c r="E17" s="8">
        <v>24</v>
      </c>
      <c r="F17" s="8">
        <v>3</v>
      </c>
      <c r="G17" s="8">
        <v>0</v>
      </c>
      <c r="H17" s="3">
        <v>2</v>
      </c>
      <c r="I17" s="8">
        <v>1</v>
      </c>
      <c r="J17" s="8">
        <v>0</v>
      </c>
      <c r="K17" s="8">
        <v>76390.009999999995</v>
      </c>
      <c r="L17" s="8">
        <v>0</v>
      </c>
      <c r="M17" t="e">
        <f>Table1[[#This Row],[estimated_salary]]/Table1[[#This Row],[balance]]</f>
        <v>#DIV/0!</v>
      </c>
      <c r="R17">
        <v>5</v>
      </c>
    </row>
    <row r="18" spans="1:18" x14ac:dyDescent="0.25">
      <c r="A18" s="8">
        <v>15632264</v>
      </c>
      <c r="B18" s="8">
        <v>476</v>
      </c>
      <c r="C18" s="8" t="s">
        <v>12</v>
      </c>
      <c r="D18" s="8" t="s">
        <v>13</v>
      </c>
      <c r="E18" s="8">
        <v>34</v>
      </c>
      <c r="F18" s="8">
        <v>10</v>
      </c>
      <c r="G18" s="8">
        <v>0</v>
      </c>
      <c r="H18" s="3">
        <v>2</v>
      </c>
      <c r="I18" s="8">
        <v>1</v>
      </c>
      <c r="J18" s="8">
        <v>0</v>
      </c>
      <c r="K18" s="8">
        <v>26260.98</v>
      </c>
      <c r="L18" s="8">
        <v>0</v>
      </c>
      <c r="M18" t="e">
        <f>Table1[[#This Row],[estimated_salary]]/Table1[[#This Row],[balance]]</f>
        <v>#DIV/0!</v>
      </c>
      <c r="R18">
        <v>6</v>
      </c>
    </row>
    <row r="19" spans="1:18" x14ac:dyDescent="0.25">
      <c r="A19" s="8">
        <v>15691483</v>
      </c>
      <c r="B19" s="8">
        <v>549</v>
      </c>
      <c r="C19" s="8" t="s">
        <v>12</v>
      </c>
      <c r="D19" s="8" t="s">
        <v>13</v>
      </c>
      <c r="E19" s="8">
        <v>25</v>
      </c>
      <c r="F19" s="8">
        <v>5</v>
      </c>
      <c r="G19" s="8">
        <v>0</v>
      </c>
      <c r="H19" s="3">
        <v>2</v>
      </c>
      <c r="I19" s="8">
        <v>0</v>
      </c>
      <c r="J19" s="8">
        <v>0</v>
      </c>
      <c r="K19" s="8">
        <v>190857.79</v>
      </c>
      <c r="L19" s="8">
        <v>0</v>
      </c>
      <c r="M19" t="e">
        <f>Table1[[#This Row],[estimated_salary]]/Table1[[#This Row],[balance]]</f>
        <v>#DIV/0!</v>
      </c>
    </row>
    <row r="20" spans="1:18" x14ac:dyDescent="0.25">
      <c r="A20" s="8">
        <v>15600882</v>
      </c>
      <c r="B20" s="8">
        <v>635</v>
      </c>
      <c r="C20" s="8" t="s">
        <v>14</v>
      </c>
      <c r="D20" s="8" t="s">
        <v>13</v>
      </c>
      <c r="E20" s="8">
        <v>35</v>
      </c>
      <c r="F20" s="8">
        <v>7</v>
      </c>
      <c r="G20" s="8">
        <v>0</v>
      </c>
      <c r="H20" s="3">
        <v>2</v>
      </c>
      <c r="I20" s="8">
        <v>1</v>
      </c>
      <c r="J20" s="8">
        <v>1</v>
      </c>
      <c r="K20" s="8">
        <v>65951.649999999994</v>
      </c>
      <c r="L20" s="8">
        <v>0</v>
      </c>
      <c r="M20" t="e">
        <f>Table1[[#This Row],[estimated_salary]]/Table1[[#This Row],[balance]]</f>
        <v>#DIV/0!</v>
      </c>
    </row>
    <row r="21" spans="1:18" x14ac:dyDescent="0.25">
      <c r="A21" s="8">
        <v>15788218</v>
      </c>
      <c r="B21" s="8">
        <v>549</v>
      </c>
      <c r="C21" s="8" t="s">
        <v>14</v>
      </c>
      <c r="D21" s="8" t="s">
        <v>13</v>
      </c>
      <c r="E21" s="8">
        <v>24</v>
      </c>
      <c r="F21" s="8">
        <v>9</v>
      </c>
      <c r="G21" s="8">
        <v>0</v>
      </c>
      <c r="H21" s="3">
        <v>2</v>
      </c>
      <c r="I21" s="8">
        <v>1</v>
      </c>
      <c r="J21" s="8">
        <v>1</v>
      </c>
      <c r="K21" s="8">
        <v>14406.41</v>
      </c>
      <c r="L21" s="8">
        <v>0</v>
      </c>
      <c r="M21" t="e">
        <f>Table1[[#This Row],[estimated_salary]]/Table1[[#This Row],[balance]]</f>
        <v>#DIV/0!</v>
      </c>
    </row>
    <row r="22" spans="1:18" x14ac:dyDescent="0.25">
      <c r="A22" s="8">
        <v>15661507</v>
      </c>
      <c r="B22" s="8">
        <v>587</v>
      </c>
      <c r="C22" s="8" t="s">
        <v>14</v>
      </c>
      <c r="D22" s="8" t="s">
        <v>15</v>
      </c>
      <c r="E22" s="8">
        <v>45</v>
      </c>
      <c r="F22" s="8">
        <v>6</v>
      </c>
      <c r="G22" s="8">
        <v>0</v>
      </c>
      <c r="H22" s="3">
        <v>1</v>
      </c>
      <c r="I22" s="8">
        <v>0</v>
      </c>
      <c r="J22" s="8">
        <v>0</v>
      </c>
      <c r="K22" s="8">
        <v>158684.81</v>
      </c>
      <c r="L22" s="8">
        <v>0</v>
      </c>
      <c r="M22" t="e">
        <f>Table1[[#This Row],[estimated_salary]]/Table1[[#This Row],[balance]]</f>
        <v>#DIV/0!</v>
      </c>
    </row>
    <row r="29" spans="1:18" x14ac:dyDescent="0.25">
      <c r="K29" s="6"/>
    </row>
  </sheetData>
  <mergeCells count="1">
    <mergeCell ref="R13:R14"/>
  </mergeCells>
  <phoneticPr fontId="18" type="noConversion"/>
  <dataValidations count="1">
    <dataValidation type="list" allowBlank="1" showInputMessage="1" showErrorMessage="1" sqref="C1:C1048576" xr:uid="{8D118B70-EF1D-429D-81FF-BC654DDE72FE}">
      <formula1>$C$4:$C$7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2026-06-08T04:45:28Z</dcterms:created>
  <dcterms:modified xsi:type="dcterms:W3CDTF">2026-06-08T07:21:42Z</dcterms:modified>
</cp:coreProperties>
</file>